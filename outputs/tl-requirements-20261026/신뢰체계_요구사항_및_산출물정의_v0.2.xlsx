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9ecc1e22e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" sheetId="1" r:id="R78ed5d65303f492a"/>
    <x:sheet xmlns:r="http://schemas.openxmlformats.org/officeDocument/2006/relationships" name="산출물목록" sheetId="2" r:id="Ree7fe4559e4e425c"/>
    <x:sheet xmlns:r="http://schemas.openxmlformats.org/officeDocument/2006/relationships" name="시험명세" sheetId="3" r:id="R19e6af171dcf4666"/>
    <x:sheet xmlns:r="http://schemas.openxmlformats.org/officeDocument/2006/relationships" name="근거목록" sheetId="4" r:id="R64a9b26bac184141"/>
    <x:sheet xmlns:r="http://schemas.openxmlformats.org/officeDocument/2006/relationships" name="확인필요" sheetId="5" r:id="R94db870fcb364050"/>
    <x:sheet xmlns:r="http://schemas.openxmlformats.org/officeDocument/2006/relationships" name="안내" sheetId="6" r:id="R1d4d635e5955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02D3A"/>
      <x:name val="Malgun Gothic"/>
    </x:font>
    <x:font>
      <x:b/>
      <x:sz val="16"/>
      <x:color rgb="FF18364D"/>
      <x:name val="Malgun Gothic"/>
    </x:font>
    <x:font>
      <x:sz val="10"/>
      <x:color rgb="FF52647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F1F5F8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8A4D12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c10a33bb34ab5" /><Relationship Type="http://schemas.openxmlformats.org/officeDocument/2006/relationships/theme" Target="/xl/theme/theme1.xml" Id="R1bdd9804e8684b3d" /><Relationship Type="http://schemas.openxmlformats.org/officeDocument/2006/relationships/sharedStrings" Target="/xl/sharedStrings.xml" Id="Rdaa29b2b72044a99" /><Relationship Type="http://schemas.openxmlformats.org/officeDocument/2006/relationships/worksheet" Target="/xl/worksheets/sheet1.xml" Id="R78ed5d65303f492a" /><Relationship Type="http://schemas.openxmlformats.org/officeDocument/2006/relationships/worksheet" Target="/xl/worksheets/sheet2.xml" Id="Ree7fe4559e4e425c" /><Relationship Type="http://schemas.openxmlformats.org/officeDocument/2006/relationships/worksheet" Target="/xl/worksheets/sheet3.xml" Id="R19e6af171dcf4666" /><Relationship Type="http://schemas.openxmlformats.org/officeDocument/2006/relationships/worksheet" Target="/xl/worksheets/sheet4.xml" Id="R64a9b26bac184141" /><Relationship Type="http://schemas.openxmlformats.org/officeDocument/2006/relationships/worksheet" Target="/xl/worksheets/sheet5.xml" Id="R94db870fcb364050" /><Relationship Type="http://schemas.openxmlformats.org/officeDocument/2006/relationships/worksheet" Target="/xl/worksheets/sheet6.xml" Id="R1d4d635e595543c2" /></Relationships>
</file>

<file path=xl/tables/table1.xml><?xml version="1.0" encoding="utf-8"?>
<x:table xmlns:x="http://schemas.openxmlformats.org/spreadsheetml/2006/main" id="1" name="Data1" displayName="Data1" ref="A5:R75" headerRowCount="1" totalsRowCount="0" totalsRowShown="0">
  <x:autoFilter ref="A5:R75"/>
  <x:tableColumns count="18">
    <x:tableColumn id="1" name="요구 ID"/>
    <x:tableColumn id="2" name="업무 구분"/>
    <x:tableColumn id="3" name="요구 제목"/>
    <x:tableColumn id="4" name="요구 내용"/>
    <x:tableColumn id="5" name="근거·조항"/>
    <x:tableColumn id="6" name="적용 범위"/>
    <x:tableColumn id="7" name="우선순위"/>
    <x:tableColumn id="8" name="요구 상태"/>
    <x:tableColumn id="9" name="인수 기준"/>
    <x:tableColumn id="10" name="검증 방법"/>
    <x:tableColumn id="11" name="설계 ID"/>
    <x:tableColumn id="12" name="시험 ID"/>
    <x:tableColumn id="13" name="도출 산출물 ID"/>
    <x:tableColumn id="14" name="도출 산출물명"/>
    <x:tableColumn id="15" name="요구별 산출물 필수 내용"/>
    <x:tableColumn id="16" name="제출 조건"/>
    <x:tableColumn id="17" name="수정 의견"/>
    <x:tableColumn id="18" name="유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5:L29" headerRowCount="1" totalsRowCount="0" totalsRowShown="0">
  <x:autoFilter ref="A5:L29"/>
  <x:tableColumns count="12">
    <x:tableColumn id="1" name="산출물 ID"/>
    <x:tableColumn id="2" name="산출물명"/>
    <x:tableColumn id="3" name="단계"/>
    <x:tableColumn id="4" name="형식"/>
    <x:tableColumn id="5" name="필수 구성 내용"/>
    <x:tableColumn id="6" name="완료·검수 기준"/>
    <x:tableColumn id="7" name="관련 요구사항"/>
    <x:tableColumn id="8" name="요구 수"/>
    <x:tableColumn id="9" name="현재 작성 상태"/>
    <x:tableColumn id="10" name="현재 자료 위치"/>
    <x:tableColumn id="11" name="적용 조건"/>
    <x:tableColumn id="12" name="검토 의견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5:K75" headerRowCount="1" totalsRowCount="0" totalsRowShown="0">
  <x:autoFilter ref="A5:K75"/>
  <x:tableColumns count="11">
    <x:tableColumn id="1" name="시험 ID"/>
    <x:tableColumn id="2" name="요구 ID"/>
    <x:tableColumn id="3" name="시험명"/>
    <x:tableColumn id="4" name="종류"/>
    <x:tableColumn id="5" name="사전 조건"/>
    <x:tableColumn id="6" name="입력·시나리오"/>
    <x:tableColumn id="7" name="기대 결과"/>
    <x:tableColumn id="8" name="시험 상태"/>
    <x:tableColumn id="9" name="결과 산출물 ID"/>
    <x:tableColumn id="10" name="현재 증거"/>
    <x:tableColumn id="11" name="비고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5:I21" headerRowCount="1" totalsRowCount="0" totalsRowShown="0">
  <x:autoFilter ref="A5:I21"/>
  <x:tableColumns count="9">
    <x:tableColumn id="1" name="근거키"/>
    <x:tableColumn id="2" name="문서·판본"/>
    <x:tableColumn id="3" name="관계·확인 수준"/>
    <x:tableColumn id="4" name="관련 조항"/>
    <x:tableColumn id="5" name="적용 범위·한계"/>
    <x:tableColumn id="6" name="공식 URL"/>
    <x:tableColumn id="7" name="원문·자료 위치"/>
    <x:tableColumn id="8" name="SHA-256"/>
    <x:tableColumn id="9" name="취득 시각 UTC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5:G15" headerRowCount="1" totalsRowCount="0" totalsRowShown="0">
  <x:autoFilter ref="A5:G15"/>
  <x:tableColumns count="7">
    <x:tableColumn id="1" name="질문 ID"/>
    <x:tableColumn id="2" name="질문"/>
    <x:tableColumn id="3" name="영향 요구사항"/>
    <x:tableColumn id="4" name="차단 단계"/>
    <x:tableColumn id="5" name="기본 원칙"/>
    <x:tableColumn id="6" name="결정 내용"/>
    <x:tableColumn id="7" name="상태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5:B20" headerRowCount="1" totalsRowCount="0" totalsRowShown="0">
  <x:autoFilter ref="A5:B20"/>
  <x:tableColumns count="2">
    <x:tableColumn id="1" name="항목"/>
    <x:tableColumn id="2" name="내용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2ba7a875e749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506c5e84bd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d3ab0aa11345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007be9f2d743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0871a627634f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0d0577525f4c07" /></Relationships>
</file>

<file path=xl/worksheets/sheet1.xml><?xml version="1.0" encoding="utf-8"?>
<x:worksheet xmlns:x="http://schemas.openxmlformats.org/spreadsheetml/2006/main">
  <x:sheetPr>
    <x:tabColor rgb="FF18364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6" hidden="0" customWidth="1"/>
    <x:col min="4" max="4" width="55" hidden="0" customWidth="1"/>
    <x:col min="5" max="5" width="40" hidden="0" customWidth="1"/>
    <x:col min="6" max="6" width="19" hidden="0" customWidth="1"/>
    <x:col min="7" max="7" width="12" hidden="0" customWidth="1"/>
    <x:col min="8" max="8" width="12" hidden="0" customWidth="1"/>
    <x:col min="9" max="9" width="58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34" hidden="0" customWidth="1"/>
    <x:col min="15" max="15" width="55" hidden="0" customWidth="1"/>
    <x:col min="16" max="16" width="26" hidden="0" customWidth="1"/>
    <x:col min="17" max="17" width="42" hidden="0" customWidth="1"/>
    <x:col min="18" max="18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0" customHeight="1">
      <x:c r="A2" s="3" t="str">
        <x:v>신뢰체계 관리시스템 요구사항 정의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4" t="str">
        <x:v>v0.2  |  2026-10-26  |  산출물 ID는 산출물목록 시트 참조. 초안·보류 상태 유지. 노란색 열은 수정 의견 입력.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2" customHeight="1">
      <x:c r="A5" s="10" t="str">
        <x:v>요구 ID</x:v>
      </x:c>
      <x:c r="B5" s="10" t="str">
        <x:v>업무 구분</x:v>
      </x:c>
      <x:c r="C5" s="10" t="str">
        <x:v>요구 제목</x:v>
      </x:c>
      <x:c r="D5" s="10" t="str">
        <x:v>요구 내용</x:v>
      </x:c>
      <x:c r="E5" s="10" t="str">
        <x:v>근거·조항</x:v>
      </x:c>
      <x:c r="F5" s="10" t="str">
        <x:v>적용 범위</x:v>
      </x:c>
      <x:c r="G5" s="10" t="str">
        <x:v>우선순위</x:v>
      </x:c>
      <x:c r="H5" s="10" t="str">
        <x:v>요구 상태</x:v>
      </x:c>
      <x:c r="I5" s="10" t="str">
        <x:v>인수 기준</x:v>
      </x:c>
      <x:c r="J5" s="10" t="str">
        <x:v>검증 방법</x:v>
      </x:c>
      <x:c r="K5" s="10" t="str">
        <x:v>설계 ID</x:v>
      </x:c>
      <x:c r="L5" s="10" t="str">
        <x:v>시험 ID</x:v>
      </x:c>
      <x:c r="M5" s="10" t="str">
        <x:v>도출 산출물 ID</x:v>
      </x:c>
      <x:c r="N5" s="10" t="str">
        <x:v>도출 산출물명</x:v>
      </x:c>
      <x:c r="O5" s="10" t="str">
        <x:v>요구별 산출물 필수 내용</x:v>
      </x:c>
      <x:c r="P5" s="10" t="str">
        <x:v>제출 조건</x:v>
      </x:c>
      <x:c r="Q5" s="10" t="str">
        <x:v>수정 의견</x:v>
      </x:c>
      <x:c r="R5" s="10" t="str">
        <x:v>유형</x:v>
      </x:c>
    </x:row>
    <x:row r="6" ht="87" customHeight="1">
      <x:c r="A6" s="6" t="str">
        <x:v>FR-001</x:v>
      </x:c>
      <x:c r="B6" s="6" t="str">
        <x:v>사업자·서비스</x:v>
      </x:c>
      <x:c r="C6" s="6" t="str">
        <x:v>목록 운영자 관리</x:v>
      </x:c>
      <x:c r="D6" s="6" t="str">
        <x:v>관리자는 목록 운영자의 명칭·국가·정보 URI를 저장할 수 있어야 한다.</x:v>
      </x:c>
      <x:c r="E6" s="6" t="str">
        <x:v>POL-01; LEG-프로파일 발행 필드</x:v>
      </x:c>
      <x:c r="F6" s="6" t="str">
        <x:v>공통</x:v>
      </x:c>
      <x:c r="G6" s="6" t="str">
        <x:v>필수</x:v>
      </x:c>
      <x:c r="H6" s="6" t="str">
        <x:v>초안</x:v>
      </x:c>
      <x:c r="I6" s="6" t="str">
        <x:v>저장 후 재조회한 각 필드가 입력값과 같고 기존 listId는 유지된다.</x:v>
      </x:c>
      <x:c r="J6" s="6" t="str">
        <x:v>시험</x:v>
      </x:c>
      <x:c r="K6" s="6" t="str">
        <x:v>DES-001</x:v>
      </x:c>
      <x:c r="L6" s="6" t="str">
        <x:v>TC-001</x:v>
      </x:c>
      <x:c r="M6" s="6" t="str">
        <x:v>DEL-002
DEL-012
DEL-017
DEL-018
DEL-021</x:v>
      </x:c>
      <x:c r="N6" s="6" t="str">
        <x:v>사업자·서비스 데이터 설계서
관리 기능 구현물
요구사항별 시험 명세서
기능·표준 적합성 시험 결과서
설치·운영·인계 지침서</x:v>
      </x:c>
      <x:c r="O6" s="6" t="str">
        <x:v>목록 운영자 관리의 입력·처리·실패 조건을 설계에 명시.
구현 위치를 연결하고 TC-001 실제 결과·로그로 인수 기준 충족을 입증.</x:v>
      </x:c>
      <x:c r="P6" s="6" t="str">
        <x:v>해당 범위 채택 시 제출</x:v>
      </x:c>
      <x:c r="Q6" s="12" t="str"/>
      <x:c r="R6" s="6" t="str">
        <x:v>FR</x:v>
      </x:c>
    </x:row>
    <x:row r="7" ht="87" customHeight="1">
      <x:c r="A7" s="11" t="str">
        <x:v>FR-002</x:v>
      </x:c>
      <x:c r="B7" s="11" t="str">
        <x:v>사업자·서비스</x:v>
      </x:c>
      <x:c r="C7" s="11" t="str">
        <x:v>사업자 등록</x:v>
      </x:c>
      <x:c r="D7" s="11" t="str">
        <x:v>관리자는 사업자 식별 정보와 명칭·상호·정보 URI를 등록할 수 있어야 한다.</x:v>
      </x:c>
      <x:c r="E7" s="11" t="str">
        <x:v>POL-01; LEG-화면 사업자 관리</x:v>
      </x:c>
      <x:c r="F7" s="11" t="str">
        <x:v>공통</x:v>
      </x:c>
      <x:c r="G7" s="11" t="str">
        <x:v>필수</x:v>
      </x:c>
      <x:c r="H7" s="11" t="str">
        <x:v>초안</x:v>
      </x:c>
      <x:c r="I7" s="11" t="str">
        <x:v>신규 사업자가 고유 providerId로 조회되고 다른 사업자의 정보는 변경되지 않는다.</x:v>
      </x:c>
      <x:c r="J7" s="11" t="str">
        <x:v>시험</x:v>
      </x:c>
      <x:c r="K7" s="11" t="str">
        <x:v>DES-001</x:v>
      </x:c>
      <x:c r="L7" s="11" t="str">
        <x:v>TC-002</x:v>
      </x:c>
      <x:c r="M7" s="11" t="str">
        <x:v>DEL-002
DEL-012
DEL-017
DEL-018
DEL-021</x:v>
      </x:c>
      <x:c r="N7" s="11" t="str">
        <x:v>사업자·서비스 데이터 설계서
관리 기능 구현물
요구사항별 시험 명세서
기능·표준 적합성 시험 결과서
설치·운영·인계 지침서</x:v>
      </x:c>
      <x:c r="O7" s="11" t="str">
        <x:v>사업자 등록의 입력·처리·실패 조건을 설계에 명시.
구현 위치를 연결하고 TC-002 실제 결과·로그로 인수 기준 충족을 입증.</x:v>
      </x:c>
      <x:c r="P7" s="11" t="str">
        <x:v>해당 범위 채택 시 제출</x:v>
      </x:c>
      <x:c r="Q7" s="12" t="str"/>
      <x:c r="R7" s="11" t="str">
        <x:v>FR</x:v>
      </x:c>
    </x:row>
    <x:row r="8" ht="87" customHeight="1">
      <x:c r="A8" s="6" t="str">
        <x:v>FR-003</x:v>
      </x:c>
      <x:c r="B8" s="6" t="str">
        <x:v>사업자·서비스</x:v>
      </x:c>
      <x:c r="C8" s="6" t="str">
        <x:v>사업자 정보 변경</x:v>
      </x:c>
      <x:c r="D8" s="6" t="str">
        <x:v>사업자 정보 변경은 동일 providerId에 반영되어야 한다.</x:v>
      </x:c>
      <x:c r="E8" s="6" t="str">
        <x:v>POL-01; LEG-화면 사업자 관리</x:v>
      </x:c>
      <x:c r="F8" s="6" t="str">
        <x:v>공통</x:v>
      </x:c>
      <x:c r="G8" s="6" t="str">
        <x:v>필수</x:v>
      </x:c>
      <x:c r="H8" s="6" t="str">
        <x:v>초안</x:v>
      </x:c>
      <x:c r="I8" s="6" t="str">
        <x:v>변경한 필드가 저장되고 연결된 serviceId가 유지된다.</x:v>
      </x:c>
      <x:c r="J8" s="6" t="str">
        <x:v>시험</x:v>
      </x:c>
      <x:c r="K8" s="6" t="str">
        <x:v>DES-001</x:v>
      </x:c>
      <x:c r="L8" s="6" t="str">
        <x:v>TC-003</x:v>
      </x:c>
      <x:c r="M8" s="6" t="str">
        <x:v>DEL-002
DEL-012
DEL-017
DEL-018
DEL-021</x:v>
      </x:c>
      <x:c r="N8" s="6" t="str">
        <x:v>사업자·서비스 데이터 설계서
관리 기능 구현물
요구사항별 시험 명세서
기능·표준 적합성 시험 결과서
설치·운영·인계 지침서</x:v>
      </x:c>
      <x:c r="O8" s="6" t="str">
        <x:v>사업자 정보 변경의 입력·처리·실패 조건을 설계에 명시.
구현 위치를 연결하고 TC-003 실제 결과·로그로 인수 기준 충족을 입증.</x:v>
      </x:c>
      <x:c r="P8" s="6" t="str">
        <x:v>해당 범위 채택 시 제출</x:v>
      </x:c>
      <x:c r="Q8" s="12" t="str"/>
      <x:c r="R8" s="6" t="str">
        <x:v>FR</x:v>
      </x:c>
    </x:row>
    <x:row r="9" ht="87" customHeight="1">
      <x:c r="A9" s="11" t="str">
        <x:v>FR-004</x:v>
      </x:c>
      <x:c r="B9" s="11" t="str">
        <x:v>사업자·서비스</x:v>
      </x:c>
      <x:c r="C9" s="11" t="str">
        <x:v>사업자 삭제 정책</x:v>
      </x:c>
      <x:c r="D9" s="11" t="str">
        <x:v>발행 이력이 있는 사업자의 삭제와 과거 발행본 보존 규칙을 구분해야 한다.</x:v>
      </x:c>
      <x:c r="E9" s="11" t="str">
        <x:v>LEG-화면; 제안: 삭제 조건 명세화</x:v>
      </x:c>
      <x:c r="F9" s="11" t="str">
        <x:v>정책 보류</x:v>
      </x:c>
      <x:c r="G9" s="11" t="str">
        <x:v>필수</x:v>
      </x:c>
      <x:c r="H9" s="11" t="str">
        <x:v>보류</x:v>
      </x:c>
      <x:c r="I9" s="11" t="str">
        <x:v>OQ-004에서 확정한 삭제 가능 조건·거부 결과를 만족하고 과거 서명 XML은 변경되지 않는다.</x:v>
      </x:c>
      <x:c r="J9" s="11" t="str">
        <x:v>검토</x:v>
      </x:c>
      <x:c r="K9" s="11" t="str">
        <x:v>DES-001</x:v>
      </x:c>
      <x:c r="L9" s="11" t="str">
        <x:v>TC-004</x:v>
      </x:c>
      <x:c r="M9" s="11" t="str">
        <x:v>DEL-002
DEL-012
DEL-017
DEL-018
DEL-021</x:v>
      </x:c>
      <x:c r="N9" s="11" t="str">
        <x:v>사업자·서비스 데이터 설계서
관리 기능 구현물
요구사항별 시험 명세서
기능·표준 적합성 시험 결과서
설치·운영·인계 지침서</x:v>
      </x:c>
      <x:c r="O9" s="11" t="str">
        <x:v>사업자 삭제 정책의 입력·처리·실패 조건을 설계에 명시.
구현 위치를 연결하고 TC-004 실제 결과·로그로 인수 기준 충족을 입증.</x:v>
      </x:c>
      <x:c r="P9" s="11" t="str">
        <x:v>범위 확정 후 제출</x:v>
      </x:c>
      <x:c r="Q9" s="12" t="str"/>
      <x:c r="R9" s="11" t="str">
        <x:v>FR</x:v>
      </x:c>
    </x:row>
    <x:row r="10" ht="87" customHeight="1">
      <x:c r="A10" s="6" t="str">
        <x:v>FR-005</x:v>
      </x:c>
      <x:c r="B10" s="6" t="str">
        <x:v>사업자·서비스</x:v>
      </x:c>
      <x:c r="C10" s="6" t="str">
        <x:v>서비스 등록</x:v>
      </x:c>
      <x:c r="D10" s="6" t="str">
        <x:v>사업자에 서비스 유형·명칭·분야·디지털 ID·최초 상태 시각을 가진 서비스를 등록할 수 있어야 한다.</x:v>
      </x:c>
      <x:c r="E10" s="6" t="str">
        <x:v>POL-01; LEG-프로파일 서비스 유형</x:v>
      </x:c>
      <x:c r="F10" s="6" t="str">
        <x:v>공통</x:v>
      </x:c>
      <x:c r="G10" s="6" t="str">
        <x:v>필수</x:v>
      </x:c>
      <x:c r="H10" s="6" t="str">
        <x:v>초안</x:v>
      </x:c>
      <x:c r="I10" s="6" t="str">
        <x:v>고유 serviceId가 부여되고 필수 디지털 ID 없는 요청은 저장되지 않는다.</x:v>
      </x:c>
      <x:c r="J10" s="6" t="str">
        <x:v>시험</x:v>
      </x:c>
      <x:c r="K10" s="6" t="str">
        <x:v>DES-001</x:v>
      </x:c>
      <x:c r="L10" s="6" t="str">
        <x:v>TC-005</x:v>
      </x:c>
      <x:c r="M10" s="6" t="str">
        <x:v>DEL-002
DEL-012
DEL-017
DEL-018
DEL-021</x:v>
      </x:c>
      <x:c r="N10" s="6" t="str">
        <x:v>사업자·서비스 데이터 설계서
관리 기능 구현물
요구사항별 시험 명세서
기능·표준 적합성 시험 결과서
설치·운영·인계 지침서</x:v>
      </x:c>
      <x:c r="O10" s="6" t="str">
        <x:v>서비스 등록의 입력·처리·실패 조건을 설계에 명시.
구현 위치를 연결하고 TC-005 실제 결과·로그로 인수 기준 충족을 입증.</x:v>
      </x:c>
      <x:c r="P10" s="6" t="str">
        <x:v>해당 범위 채택 시 제출</x:v>
      </x:c>
      <x:c r="Q10" s="12" t="str"/>
      <x:c r="R10" s="6" t="str">
        <x:v>FR</x:v>
      </x:c>
    </x:row>
    <x:row r="11" ht="87" customHeight="1">
      <x:c r="A11" s="11" t="str">
        <x:v>FR-006</x:v>
      </x:c>
      <x:c r="B11" s="11" t="str">
        <x:v>사업자·서비스</x:v>
      </x:c>
      <x:c r="C11" s="11" t="str">
        <x:v>CA 신뢰점 레벨</x:v>
      </x:c>
      <x:c r="D11" s="11" t="str">
        <x:v>CA 서비스만 신뢰점 레벨 0 또는 1을 가져야 한다.</x:v>
      </x:c>
      <x:c r="E11" s="11" t="str">
        <x:v>LEG-프로파일 서비스 유형; 프로젝트 선택</x:v>
      </x:c>
      <x:c r="F11" s="11" t="str">
        <x:v>PoC</x:v>
      </x:c>
      <x:c r="G11" s="11" t="str">
        <x:v>필수</x:v>
      </x:c>
      <x:c r="H11" s="11" t="str">
        <x:v>초안</x:v>
      </x:c>
      <x:c r="I11" s="11" t="str">
        <x:v>CA는 0 또는 1로 저장되고 OCSP·TSA에 level을 넣은 입력은 거부된다.</x:v>
      </x:c>
      <x:c r="J11" s="11" t="str">
        <x:v>시험</x:v>
      </x:c>
      <x:c r="K11" s="11" t="str">
        <x:v>DES-001</x:v>
      </x:c>
      <x:c r="L11" s="11" t="str">
        <x:v>TC-006</x:v>
      </x:c>
      <x:c r="M11" s="11" t="str">
        <x:v>DEL-002
DEL-012
DEL-017
DEL-018
DEL-021</x:v>
      </x:c>
      <x:c r="N11" s="11" t="str">
        <x:v>사업자·서비스 데이터 설계서
관리 기능 구현물
요구사항별 시험 명세서
기능·표준 적합성 시험 결과서
설치·운영·인계 지침서</x:v>
      </x:c>
      <x:c r="O11" s="11" t="str">
        <x:v>CA 신뢰점 레벨의 입력·처리·실패 조건을 설계에 명시.
구현 위치를 연결하고 TC-006 실제 결과·로그로 인수 기준 충족을 입증.</x:v>
      </x:c>
      <x:c r="P11" s="11" t="str">
        <x:v>해당 범위 채택 시 제출</x:v>
      </x:c>
      <x:c r="Q11" s="12" t="str"/>
      <x:c r="R11" s="11" t="str">
        <x:v>FR</x:v>
      </x:c>
    </x:row>
    <x:row r="12" ht="87" customHeight="1">
      <x:c r="A12" s="6" t="str">
        <x:v>FR-007</x:v>
      </x:c>
      <x:c r="B12" s="6" t="str">
        <x:v>사업자·서비스</x:v>
      </x:c>
      <x:c r="C12" s="6" t="str">
        <x:v>서비스 정보 변경 이력</x:v>
      </x:c>
      <x:c r="D12" s="6" t="str">
        <x:v>발행된 서비스의 판정 정보 변경은 과거 구간을 유지하는 새 정보 구간으로 표현해야 한다.</x:v>
      </x:c>
      <x:c r="E12" s="6" t="str">
        <x:v>LEG-모델 §4·6; STD-01 §5.5.10·5.6</x:v>
      </x:c>
      <x:c r="F12" s="6" t="str">
        <x:v>공통</x:v>
      </x:c>
      <x:c r="G12" s="6" t="str">
        <x:v>필수</x:v>
      </x:c>
      <x:c r="H12" s="6" t="str">
        <x:v>초안</x:v>
      </x:c>
      <x:c r="I12" s="6" t="str">
        <x:v>변경 전 구간의 유형·분야·레벨·식별 정보가 보존되고 새 구간에만 변경값이 적용된다.</x:v>
      </x:c>
      <x:c r="J12" s="6" t="str">
        <x:v>시험</x:v>
      </x:c>
      <x:c r="K12" s="6" t="str">
        <x:v>DES-001</x:v>
      </x:c>
      <x:c r="L12" s="6" t="str">
        <x:v>TC-007</x:v>
      </x:c>
      <x:c r="M12" s="6" t="str">
        <x:v>DEL-002
DEL-012
DEL-017
DEL-018
DEL-021</x:v>
      </x:c>
      <x:c r="N12" s="6" t="str">
        <x:v>사업자·서비스 데이터 설계서
관리 기능 구현물
요구사항별 시험 명세서
기능·표준 적합성 시험 결과서
설치·운영·인계 지침서</x:v>
      </x:c>
      <x:c r="O12" s="6" t="str">
        <x:v>서비스 정보 변경 이력의 입력·처리·실패 조건을 설계에 명시.
구현 위치를 연결하고 TC-007 실제 결과·로그로 인수 기준 충족을 입증.</x:v>
      </x:c>
      <x:c r="P12" s="6" t="str">
        <x:v>해당 범위 채택 시 제출</x:v>
      </x:c>
      <x:c r="Q12" s="12" t="str"/>
      <x:c r="R12" s="6" t="str">
        <x:v>FR</x:v>
      </x:c>
    </x:row>
    <x:row r="13" ht="87" customHeight="1">
      <x:c r="A13" s="11" t="str">
        <x:v>FR-008</x:v>
      </x:c>
      <x:c r="B13" s="11" t="str">
        <x:v>사업자·서비스</x:v>
      </x:c>
      <x:c r="C13" s="11" t="str">
        <x:v>업무 상태 전이</x:v>
      </x:c>
      <x:c r="D13" s="11" t="str">
        <x:v>PoC 정상 상태 전이는 인정→정지/철회, 정지→인정/철회로 제한해야 한다.</x:v>
      </x:c>
      <x:c r="E13" s="11" t="str">
        <x:v>LEG-프로파일 인정 상태; 국내 PoC 선택</x:v>
      </x:c>
      <x:c r="F13" s="11" t="str">
        <x:v>PoC</x:v>
      </x:c>
      <x:c r="G13" s="11" t="str">
        <x:v>필수</x:v>
      </x:c>
      <x:c r="H13" s="11" t="str">
        <x:v>초안</x:v>
      </x:c>
      <x:c r="I13" s="11" t="str">
        <x:v>각 허용 전이가 저장되고 철회 후 동일 서비스 재인정은 지원되지 않음을 반환한다.</x:v>
      </x:c>
      <x:c r="J13" s="11" t="str">
        <x:v>시험</x:v>
      </x:c>
      <x:c r="K13" s="11" t="str">
        <x:v>DES-001</x:v>
      </x:c>
      <x:c r="L13" s="11" t="str">
        <x:v>TC-008</x:v>
      </x:c>
      <x:c r="M13" s="11" t="str">
        <x:v>DEL-002
DEL-012
DEL-017
DEL-018
DEL-021</x:v>
      </x:c>
      <x:c r="N13" s="11" t="str">
        <x:v>사업자·서비스 데이터 설계서
관리 기능 구현물
요구사항별 시험 명세서
기능·표준 적합성 시험 결과서
설치·운영·인계 지침서</x:v>
      </x:c>
      <x:c r="O13" s="11" t="str">
        <x:v>업무 상태 전이의 입력·처리·실패 조건을 설계에 명시.
구현 위치를 연결하고 TC-008 실제 결과·로그로 인수 기준 충족을 입증.</x:v>
      </x:c>
      <x:c r="P13" s="11" t="str">
        <x:v>해당 범위 채택 시 제출</x:v>
      </x:c>
      <x:c r="Q13" s="12" t="str"/>
      <x:c r="R13" s="11" t="str">
        <x:v>FR</x:v>
      </x:c>
    </x:row>
    <x:row r="14" ht="87" customHeight="1">
      <x:c r="A14" s="6" t="str">
        <x:v>FR-009</x:v>
      </x:c>
      <x:c r="B14" s="6" t="str">
        <x:v>사업자·서비스</x:v>
      </x:c>
      <x:c r="C14" s="6" t="str">
        <x:v>신청 상태와 인정 상태 분리</x:v>
      </x:c>
      <x:c r="D14" s="6" t="str">
        <x:v>접수·심사·보완·반려 상태를 서비스 인정 상태 URI로 저장하지 않아야 한다.</x:v>
      </x:c>
      <x:c r="E14" s="6" t="str">
        <x:v>POL-01; LEG-프로파일 인정 상태</x:v>
      </x:c>
      <x:c r="F14" s="6" t="str">
        <x:v>공통</x:v>
      </x:c>
      <x:c r="G14" s="6" t="str">
        <x:v>필수</x:v>
      </x:c>
      <x:c r="H14" s="6" t="str">
        <x:v>초안</x:v>
      </x:c>
      <x:c r="I14" s="6" t="str">
        <x:v>신청 상태를 서비스 상태로 입력하면 거부하며 기존 인정 상태가 유지된다.</x:v>
      </x:c>
      <x:c r="J14" s="6" t="str">
        <x:v>시험</x:v>
      </x:c>
      <x:c r="K14" s="6" t="str">
        <x:v>DES-001</x:v>
      </x:c>
      <x:c r="L14" s="6" t="str">
        <x:v>TC-009</x:v>
      </x:c>
      <x:c r="M14" s="6" t="str">
        <x:v>DEL-002
DEL-012
DEL-017
DEL-018
DEL-021</x:v>
      </x:c>
      <x:c r="N14" s="6" t="str">
        <x:v>사업자·서비스 데이터 설계서
관리 기능 구현물
요구사항별 시험 명세서
기능·표준 적합성 시험 결과서
설치·운영·인계 지침서</x:v>
      </x:c>
      <x:c r="O14" s="6" t="str">
        <x:v>신청 상태와 인정 상태 분리의 입력·처리·실패 조건을 설계에 명시.
구현 위치를 연결하고 TC-009 실제 결과·로그로 인수 기준 충족을 입증.</x:v>
      </x:c>
      <x:c r="P14" s="6" t="str">
        <x:v>해당 범위 채택 시 제출</x:v>
      </x:c>
      <x:c r="Q14" s="12" t="str"/>
      <x:c r="R14" s="6" t="str">
        <x:v>FR</x:v>
      </x:c>
    </x:row>
    <x:row r="15" ht="87" customHeight="1">
      <x:c r="A15" s="11" t="str">
        <x:v>FR-010</x:v>
      </x:c>
      <x:c r="B15" s="11" t="str">
        <x:v>사업자·서비스</x:v>
      </x:c>
      <x:c r="C15" s="11" t="str">
        <x:v>서비스 삭제 정책</x:v>
      </x:c>
      <x:c r="D15" s="11" t="str">
        <x:v>발행 이력이 있는 서비스의 삭제 조건과 철회 전이를 구분해야 한다.</x:v>
      </x:c>
      <x:c r="E15" s="11" t="str">
        <x:v>LEG-화면; 제안: 삭제 정책 명세화</x:v>
      </x:c>
      <x:c r="F15" s="11" t="str">
        <x:v>정책 보류</x:v>
      </x:c>
      <x:c r="G15" s="11" t="str">
        <x:v>필수</x:v>
      </x:c>
      <x:c r="H15" s="11" t="str">
        <x:v>보류</x:v>
      </x:c>
      <x:c r="I15" s="11" t="str">
        <x:v>OQ-004의 조건에 따라 삭제 또는 거부하고 기발행 이력과 XML은 유지된다.</x:v>
      </x:c>
      <x:c r="J15" s="11" t="str">
        <x:v>검토</x:v>
      </x:c>
      <x:c r="K15" s="11" t="str">
        <x:v>DES-001</x:v>
      </x:c>
      <x:c r="L15" s="11" t="str">
        <x:v>TC-010</x:v>
      </x:c>
      <x:c r="M15" s="11" t="str">
        <x:v>DEL-002
DEL-012
DEL-017
DEL-018
DEL-021</x:v>
      </x:c>
      <x:c r="N15" s="11" t="str">
        <x:v>사업자·서비스 데이터 설계서
관리 기능 구현물
요구사항별 시험 명세서
기능·표준 적합성 시험 결과서
설치·운영·인계 지침서</x:v>
      </x:c>
      <x:c r="O15" s="11" t="str">
        <x:v>서비스 삭제 정책의 입력·처리·실패 조건을 설계에 명시.
구현 위치를 연결하고 TC-010 실제 결과·로그로 인수 기준 충족을 입증.</x:v>
      </x:c>
      <x:c r="P15" s="11" t="str">
        <x:v>범위 확정 후 제출</x:v>
      </x:c>
      <x:c r="Q15" s="12" t="str"/>
      <x:c r="R15" s="11" t="str">
        <x:v>FR</x:v>
      </x:c>
    </x:row>
    <x:row r="16" ht="87" customHeight="1">
      <x:c r="A16" s="6" t="str">
        <x:v>FR-011</x:v>
      </x:c>
      <x:c r="B16" s="6" t="str">
        <x:v>인증서·이력</x:v>
      </x:c>
      <x:c r="C16" s="6" t="str">
        <x:v>인증서 검사</x:v>
      </x:c>
      <x:c r="D16" s="6" t="str">
        <x:v>PEM 또는 DER 인증서를 읽고 Subject·SKI·유효기간을 표시해야 한다.</x:v>
      </x:c>
      <x:c r="E16" s="6" t="str">
        <x:v>LEG-키 §3; STD-06 §4.1·4.2.1.2</x:v>
      </x:c>
      <x:c r="F16" s="6" t="str">
        <x:v>공통</x:v>
      </x:c>
      <x:c r="G16" s="6" t="str">
        <x:v>필수</x:v>
      </x:c>
      <x:c r="H16" s="6" t="str">
        <x:v>초안</x:v>
      </x:c>
      <x:c r="I16" s="6" t="str">
        <x:v>동일 인증서의 PEM·DER 입력이 같은 정보로 표시되고 파싱 불가 입력은 저장되지 않는다.</x:v>
      </x:c>
      <x:c r="J16" s="6" t="str">
        <x:v>시험</x:v>
      </x:c>
      <x:c r="K16" s="6" t="str">
        <x:v>DES-002</x:v>
      </x:c>
      <x:c r="L16" s="6" t="str">
        <x:v>TC-011</x:v>
      </x:c>
      <x:c r="M16" s="6" t="str">
        <x:v>DEL-003
DEL-013
DEL-017
DEL-018
DEL-021</x:v>
      </x:c>
      <x:c r="N16" s="6" t="str">
        <x:v>인증서·서비스 이력 설계서
TL 생성·서명 구현물
요구사항별 시험 명세서
기능·표준 적합성 시험 결과서
설치·운영·인계 지침서</x:v>
      </x:c>
      <x:c r="O16" s="6" t="str">
        <x:v>인증서 검사의 입력·처리·실패 조건을 설계에 명시.
구현 위치를 연결하고 TC-011 실제 결과·로그로 인수 기준 충족을 입증.</x:v>
      </x:c>
      <x:c r="P16" s="6" t="str">
        <x:v>해당 범위 채택 시 제출</x:v>
      </x:c>
      <x:c r="Q16" s="12" t="str"/>
      <x:c r="R16" s="6" t="str">
        <x:v>FR</x:v>
      </x:c>
    </x:row>
    <x:row r="17" ht="87" customHeight="1">
      <x:c r="A17" s="11" t="str">
        <x:v>FR-012</x:v>
      </x:c>
      <x:c r="B17" s="11" t="str">
        <x:v>인증서·이력</x:v>
      </x:c>
      <x:c r="C17" s="11" t="str">
        <x:v>같은 키 인증서 갱신</x:v>
      </x:c>
      <x:c r="D17" s="11" t="str">
        <x:v>같은 공개키·같은 Subject의 새 인증서는 기존 서비스의 디지털 ID 표현으로 추가해야 한다.</x:v>
      </x:c>
      <x:c r="E17" s="11" t="str">
        <x:v>STD-01 §5.5.3·G.4</x:v>
      </x:c>
      <x:c r="F17" s="11" t="str">
        <x:v>공통</x:v>
      </x:c>
      <x:c r="G17" s="11" t="str">
        <x:v>필수</x:v>
      </x:c>
      <x:c r="H17" s="11" t="str">
        <x:v>초안</x:v>
      </x:c>
      <x:c r="I17" s="11" t="str">
        <x:v>serviceId와 상태 시작 시각이 유지되고 이력 항목 수가 증가하지 않는다.</x:v>
      </x:c>
      <x:c r="J17" s="11" t="str">
        <x:v>시험</x:v>
      </x:c>
      <x:c r="K17" s="11" t="str">
        <x:v>DES-002</x:v>
      </x:c>
      <x:c r="L17" s="11" t="str">
        <x:v>TC-012</x:v>
      </x:c>
      <x:c r="M17" s="11" t="str">
        <x:v>DEL-003
DEL-013
DEL-017
DEL-018
DEL-021</x:v>
      </x:c>
      <x:c r="N17" s="11" t="str">
        <x:v>인증서·서비스 이력 설계서
TL 생성·서명 구현물
요구사항별 시험 명세서
기능·표준 적합성 시험 결과서
설치·운영·인계 지침서</x:v>
      </x:c>
      <x:c r="O17" s="11" t="str">
        <x:v>같은 키 인증서 갱신의 입력·처리·실패 조건을 설계에 명시.
구현 위치를 연결하고 TC-012 실제 결과·로그로 인수 기준 충족을 입증.</x:v>
      </x:c>
      <x:c r="P17" s="11" t="str">
        <x:v>해당 범위 채택 시 제출</x:v>
      </x:c>
      <x:c r="Q17" s="12" t="str"/>
      <x:c r="R17" s="11" t="str">
        <x:v>FR</x:v>
      </x:c>
    </x:row>
    <x:row r="18" ht="87" customHeight="1">
      <x:c r="A18" s="6" t="str">
        <x:v>FR-013</x:v>
      </x:c>
      <x:c r="B18" s="6" t="str">
        <x:v>인증서·이력</x:v>
      </x:c>
      <x:c r="C18" s="6" t="str">
        <x:v>새 키 서비스 분리</x:v>
      </x:c>
      <x:c r="D18" s="6" t="str">
        <x:v>새 공개키로 교체한 인증서는 새 서비스 항목으로 관리해야 한다.</x:v>
      </x:c>
      <x:c r="E18" s="6" t="str">
        <x:v>STD-01 §5.5.3·G.4</x:v>
      </x:c>
      <x:c r="F18" s="6" t="str">
        <x:v>공통</x:v>
      </x:c>
      <x:c r="G18" s="6" t="str">
        <x:v>필수</x:v>
      </x:c>
      <x:c r="H18" s="6" t="str">
        <x:v>초안</x:v>
      </x:c>
      <x:c r="I18" s="6" t="str">
        <x:v>기존 서비스와 다른 serviceId로 등록되고 새 항목에 이전 서비스 이력을 복제하지 않는다.</x:v>
      </x:c>
      <x:c r="J18" s="6" t="str">
        <x:v>시험</x:v>
      </x:c>
      <x:c r="K18" s="6" t="str">
        <x:v>DES-002</x:v>
      </x:c>
      <x:c r="L18" s="6" t="str">
        <x:v>TC-013</x:v>
      </x:c>
      <x:c r="M18" s="6" t="str">
        <x:v>DEL-003
DEL-013
DEL-017
DEL-018
DEL-021</x:v>
      </x:c>
      <x:c r="N18" s="6" t="str">
        <x:v>인증서·서비스 이력 설계서
TL 생성·서명 구현물
요구사항별 시험 명세서
기능·표준 적합성 시험 결과서
설치·운영·인계 지침서</x:v>
      </x:c>
      <x:c r="O18" s="6" t="str">
        <x:v>새 키 서비스 분리의 입력·처리·실패 조건을 설계에 명시.
구현 위치를 연결하고 TC-013 실제 결과·로그로 인수 기준 충족을 입증.</x:v>
      </x:c>
      <x:c r="P18" s="6" t="str">
        <x:v>해당 범위 채택 시 제출</x:v>
      </x:c>
      <x:c r="Q18" s="12" t="str"/>
      <x:c r="R18" s="6" t="str">
        <x:v>FR</x:v>
      </x:c>
    </x:row>
    <x:row r="19" ht="87" customHeight="1">
      <x:c r="A19" s="11" t="str">
        <x:v>FR-014</x:v>
      </x:c>
      <x:c r="B19" s="11" t="str">
        <x:v>인증서·이력</x:v>
      </x:c>
      <x:c r="C19" s="11" t="str">
        <x:v>현재 디지털 ID 출력</x:v>
      </x:c>
      <x:c r="D19" s="11" t="str">
        <x:v>PKI 기반 서비스의 현재 디지털 ID에는 동일 공개키를 나타내는 인증서 정보를 출력해야 한다.</x:v>
      </x:c>
      <x:c r="E19" s="11" t="str">
        <x:v>STD-01 §5.5.3; LEG-모델 §4</x:v>
      </x:c>
      <x:c r="F19" s="11" t="str">
        <x:v>공통</x:v>
      </x:c>
      <x:c r="G19" s="11" t="str">
        <x:v>필수</x:v>
      </x:c>
      <x:c r="H19" s="11" t="str">
        <x:v>초안</x:v>
      </x:c>
      <x:c r="I19" s="11" t="str">
        <x:v>현재 인증서들이 동일 공개키·Subject를 나타내며 서로 다른 키의 인증서 혼합은 거부된다.</x:v>
      </x:c>
      <x:c r="J19" s="11" t="str">
        <x:v>시험</x:v>
      </x:c>
      <x:c r="K19" s="11" t="str">
        <x:v>DES-002</x:v>
      </x:c>
      <x:c r="L19" s="11" t="str">
        <x:v>TC-014</x:v>
      </x:c>
      <x:c r="M19" s="11" t="str">
        <x:v>DEL-003
DEL-013
DEL-017
DEL-018
DEL-021</x:v>
      </x:c>
      <x:c r="N19" s="11" t="str">
        <x:v>인증서·서비스 이력 설계서
TL 생성·서명 구현물
요구사항별 시험 명세서
기능·표준 적합성 시험 결과서
설치·운영·인계 지침서</x:v>
      </x:c>
      <x:c r="O19" s="11" t="str">
        <x:v>현재 디지털 ID 출력의 입력·처리·실패 조건을 설계에 명시.
구현 위치를 연결하고 TC-014 실제 결과·로그로 인수 기준 충족을 입증.</x:v>
      </x:c>
      <x:c r="P19" s="11" t="str">
        <x:v>해당 범위 채택 시 제출</x:v>
      </x:c>
      <x:c r="Q19" s="12" t="str"/>
      <x:c r="R19" s="11" t="str">
        <x:v>FR</x:v>
      </x:c>
    </x:row>
    <x:row r="20" ht="87" customHeight="1">
      <x:c r="A20" s="6" t="str">
        <x:v>FR-015</x:v>
      </x:c>
      <x:c r="B20" s="6" t="str">
        <x:v>인증서·이력</x:v>
      </x:c>
      <x:c r="C20" s="6" t="str">
        <x:v>이력 디지털 ID 출력</x:v>
      </x:c>
      <x:c r="D20" s="6" t="str">
        <x:v>서비스 이력 XML에는 최소 X509SKI를 포함하고 인증서 본문을 넣지 않아야 한다.</x:v>
      </x:c>
      <x:c r="E20" s="6" t="str">
        <x:v>STD-01 §5.6.3</x:v>
      </x:c>
      <x:c r="F20" s="6" t="str">
        <x:v>공통</x:v>
      </x:c>
      <x:c r="G20" s="6" t="str">
        <x:v>필수</x:v>
      </x:c>
      <x:c r="H20" s="6" t="str">
        <x:v>초안</x:v>
      </x:c>
      <x:c r="I20" s="6" t="str">
        <x:v>모든 이력 항목에 X509SKI가 있고 이력 하위 X509Certificate는 0개다.</x:v>
      </x:c>
      <x:c r="J20" s="6" t="str">
        <x:v>시험</x:v>
      </x:c>
      <x:c r="K20" s="6" t="str">
        <x:v>DES-002</x:v>
      </x:c>
      <x:c r="L20" s="6" t="str">
        <x:v>TC-015</x:v>
      </x:c>
      <x:c r="M20" s="6" t="str">
        <x:v>DEL-003
DEL-013
DEL-017
DEL-018
DEL-021</x:v>
      </x:c>
      <x:c r="N20" s="6" t="str">
        <x:v>인증서·서비스 이력 설계서
TL 생성·서명 구현물
요구사항별 시험 명세서
기능·표준 적합성 시험 결과서
설치·운영·인계 지침서</x:v>
      </x:c>
      <x:c r="O20" s="6" t="str">
        <x:v>이력 디지털 ID 출력의 입력·처리·실패 조건을 설계에 명시.
구현 위치를 연결하고 TC-015 실제 결과·로그로 인수 기준 충족을 입증.</x:v>
      </x:c>
      <x:c r="P20" s="6" t="str">
        <x:v>해당 범위 채택 시 제출</x:v>
      </x:c>
      <x:c r="Q20" s="12" t="str"/>
      <x:c r="R20" s="6" t="str">
        <x:v>FR</x:v>
      </x:c>
    </x:row>
    <x:row r="21" ht="87" customHeight="1">
      <x:c r="A21" s="11" t="str">
        <x:v>FR-016</x:v>
      </x:c>
      <x:c r="B21" s="11" t="str">
        <x:v>인증서·이력</x:v>
      </x:c>
      <x:c r="C21" s="11" t="str">
        <x:v>시간 구간 조회</x:v>
      </x:c>
      <x:c r="D21" s="11" t="str">
        <x:v>서비스 정보는 시작 포함·다음 시작 제외 구간으로 조회해야 한다.</x:v>
      </x:c>
      <x:c r="E21" s="11" t="str">
        <x:v>LEG-모델 §7; 프로젝트 판정 정책</x:v>
      </x:c>
      <x:c r="F21" s="11" t="str">
        <x:v>외부 소비자</x:v>
      </x:c>
      <x:c r="G21" s="11" t="str">
        <x:v>필수</x:v>
      </x:c>
      <x:c r="H21" s="11" t="str">
        <x:v>초안</x:v>
      </x:c>
      <x:c r="I21" s="11" t="str">
        <x:v>경계 직전은 이전 상태, 경계 시각은 새 상태, 최초 시작 전은 근거 없음으로 반환한다.</x:v>
      </x:c>
      <x:c r="J21" s="11" t="str">
        <x:v>시험</x:v>
      </x:c>
      <x:c r="K21" s="11" t="str">
        <x:v>DES-002</x:v>
      </x:c>
      <x:c r="L21" s="11" t="str">
        <x:v>TC-016</x:v>
      </x:c>
      <x:c r="M21" s="11" t="str">
        <x:v>DEL-008
DEL-015
DEL-017
DEL-018
DEL-021</x:v>
      </x:c>
      <x:c r="N21" s="11" t="str">
        <x:v>외부 소비자 신뢰검증 명세
소비자 검증 연계 샘플
요구사항별 시험 명세서
기능·표준 적합성 시험 결과서
설치·운영·인계 지침서</x:v>
      </x:c>
      <x:c r="O21" s="11" t="str">
        <x:v>시간 구간 조회의 입력·처리·실패 조건을 설계에 명시.
구현 위치를 연결하고 TC-016 실제 결과·로그로 인수 기준 충족을 입증.</x:v>
      </x:c>
      <x:c r="P21" s="11" t="str">
        <x:v>외부 소비자 연계 인수</x:v>
      </x:c>
      <x:c r="Q21" s="12" t="str"/>
      <x:c r="R21" s="11" t="str">
        <x:v>FR</x:v>
      </x:c>
    </x:row>
    <x:row r="22" ht="87" customHeight="1">
      <x:c r="A22" s="6" t="str">
        <x:v>FR-017</x:v>
      </x:c>
      <x:c r="B22" s="6" t="str">
        <x:v>인증서·이력</x:v>
      </x:c>
      <x:c r="C22" s="6" t="str">
        <x:v>단순 재발행의 이력 유지</x:v>
      </x:c>
      <x:c r="D22" s="6" t="str">
        <x:v>서비스 정보 변경 없는 재발행은 기존 상태 시작 시각과 이력을 유지해야 한다.</x:v>
      </x:c>
      <x:c r="E22" s="6" t="str">
        <x:v>STD-01 §5.5.5·G.4; LEG-모델 §6</x:v>
      </x:c>
      <x:c r="F22" s="6" t="str">
        <x:v>공통</x:v>
      </x:c>
      <x:c r="G22" s="6" t="str">
        <x:v>필수</x:v>
      </x:c>
      <x:c r="H22" s="6" t="str">
        <x:v>초안</x:v>
      </x:c>
      <x:c r="I22" s="6" t="str">
        <x:v>재발행 전후 서비스 정보·시작 시각·이력 수가 동일하다.</x:v>
      </x:c>
      <x:c r="J22" s="6" t="str">
        <x:v>시험</x:v>
      </x:c>
      <x:c r="K22" s="6" t="str">
        <x:v>DES-002</x:v>
      </x:c>
      <x:c r="L22" s="6" t="str">
        <x:v>TC-017</x:v>
      </x:c>
      <x:c r="M22" s="6" t="str">
        <x:v>DEL-003
DEL-013
DEL-017
DEL-018
DEL-021</x:v>
      </x:c>
      <x:c r="N22" s="6" t="str">
        <x:v>인증서·서비스 이력 설계서
TL 생성·서명 구현물
요구사항별 시험 명세서
기능·표준 적합성 시험 결과서
설치·운영·인계 지침서</x:v>
      </x:c>
      <x:c r="O22" s="6" t="str">
        <x:v>단순 재발행의 이력 유지의 입력·처리·실패 조건을 설계에 명시.
구현 위치를 연결하고 TC-017 실제 결과·로그로 인수 기준 충족을 입증.</x:v>
      </x:c>
      <x:c r="P22" s="6" t="str">
        <x:v>해당 범위 채택 시 제출</x:v>
      </x:c>
      <x:c r="Q22" s="12" t="str"/>
      <x:c r="R22" s="6" t="str">
        <x:v>FR</x:v>
      </x:c>
    </x:row>
    <x:row r="23" ht="87" customHeight="1">
      <x:c r="A23" s="11" t="str">
        <x:v>FR-018</x:v>
      </x:c>
      <x:c r="B23" s="11" t="str">
        <x:v>TL 형식</x:v>
      </x:c>
      <x:c r="C23" s="11" t="str">
        <x:v>형식 버전 출력</x:v>
      </x:c>
      <x:c r="D23" s="11" t="str">
        <x:v>채택한 TS 119 612 V2.4.1 프로파일의 TSLVersionIdentifier는 6이어야 한다.</x:v>
      </x:c>
      <x:c r="E23" s="11" t="str">
        <x:v>STD-01 §5.3.1</x:v>
      </x:c>
      <x:c r="F23" s="11" t="str">
        <x:v>공통</x:v>
      </x:c>
      <x:c r="G23" s="11" t="str">
        <x:v>필수</x:v>
      </x:c>
      <x:c r="H23" s="11" t="str">
        <x:v>초안</x:v>
      </x:c>
      <x:c r="I23" s="11" t="str">
        <x:v>XML 형식 버전이 6이며 발행 순번·프로파일 버전과 별도 필드다.</x:v>
      </x:c>
      <x:c r="J23" s="11" t="str">
        <x:v>시험</x:v>
      </x:c>
      <x:c r="K23" s="11" t="str">
        <x:v>DES-003</x:v>
      </x:c>
      <x:c r="L23" s="11" t="str">
        <x:v>TC-018</x:v>
      </x:c>
      <x:c r="M23" s="11" t="str">
        <x:v>DEL-004
DEL-013
DEL-017
DEL-018
DEL-021</x:v>
      </x:c>
      <x:c r="N23" s="11" t="str">
        <x:v>KR-TL 프로파일·스키마 명세
TL 생성·서명 구현물
요구사항별 시험 명세서
기능·표준 적합성 시험 결과서
설치·운영·인계 지침서</x:v>
      </x:c>
      <x:c r="O23" s="11" t="str">
        <x:v>형식 버전 출력의 입력·처리·실패 조건을 설계에 명시.
구현 위치를 연결하고 TC-018 실제 결과·로그로 인수 기준 충족을 입증.</x:v>
      </x:c>
      <x:c r="P23" s="11" t="str">
        <x:v>해당 범위 채택 시 제출</x:v>
      </x:c>
      <x:c r="Q23" s="12" t="str"/>
      <x:c r="R23" s="11" t="str">
        <x:v>FR</x:v>
      </x:c>
    </x:row>
    <x:row r="24" ht="87" customHeight="1">
      <x:c r="A24" s="6" t="str">
        <x:v>FR-019</x:v>
      </x:c>
      <x:c r="B24" s="6" t="str">
        <x:v>TL 형식</x:v>
      </x:c>
      <x:c r="C24" s="6" t="str">
        <x:v>정상 순번 증가</x:v>
      </x:c>
      <x:c r="D24" s="6" t="str">
        <x:v>정상 기준 발행의 최초 순번은 1이며 후속 정상 발행마다 증가해야 한다.</x:v>
      </x:c>
      <x:c r="E24" s="6" t="str">
        <x:v>STD-01 §5.3.2; LEG-복구 동시성</x:v>
      </x:c>
      <x:c r="F24" s="6" t="str">
        <x:v>공통</x:v>
      </x:c>
      <x:c r="G24" s="6" t="str">
        <x:v>필수</x:v>
      </x:c>
      <x:c r="H24" s="6" t="str">
        <x:v>초안</x:v>
      </x:c>
      <x:c r="I24" s="6" t="str">
        <x:v>첫 BASELINE=1, 다음 권장값은 직전 BASELINE+1이고 TRIAL 최대값의 영향을 받지 않는다.</x:v>
      </x:c>
      <x:c r="J24" s="6" t="str">
        <x:v>시험</x:v>
      </x:c>
      <x:c r="K24" s="6" t="str">
        <x:v>DES-003</x:v>
      </x:c>
      <x:c r="L24" s="6" t="str">
        <x:v>TC-019</x:v>
      </x:c>
      <x:c r="M24" s="6" t="str">
        <x:v>DEL-004
DEL-013
DEL-017
DEL-018
DEL-021</x:v>
      </x:c>
      <x:c r="N24" s="6" t="str">
        <x:v>KR-TL 프로파일·스키마 명세
TL 생성·서명 구현물
요구사항별 시험 명세서
기능·표준 적합성 시험 결과서
설치·운영·인계 지침서</x:v>
      </x:c>
      <x:c r="O24" s="6" t="str">
        <x:v>정상 순번 증가의 입력·처리·실패 조건을 설계에 명시.
구현 위치를 연결하고 TC-019 실제 결과·로그로 인수 기준 충족을 입증.</x:v>
      </x:c>
      <x:c r="P24" s="6" t="str">
        <x:v>해당 범위 채택 시 제출</x:v>
      </x:c>
      <x:c r="Q24" s="12" t="str"/>
      <x:c r="R24" s="6" t="str">
        <x:v>FR</x:v>
      </x:c>
    </x:row>
    <x:row r="25" ht="87" customHeight="1">
      <x:c r="A25" s="11" t="str">
        <x:v>FR-020</x:v>
      </x:c>
      <x:c r="B25" s="11" t="str">
        <x:v>TL 형식</x:v>
      </x:c>
      <x:c r="C25" s="11" t="str">
        <x:v>이력 보존 값</x:v>
      </x:c>
      <x:c r="D25" s="11" t="str">
        <x:v>HistoricalInformationPeriod는 채택 프로파일에서 65535로 출력해야 한다.</x:v>
      </x:c>
      <x:c r="E25" s="11" t="str">
        <x:v>STD-01 §5.3.12</x:v>
      </x:c>
      <x:c r="F25" s="11" t="str">
        <x:v>공통</x:v>
      </x:c>
      <x:c r="G25" s="11" t="str">
        <x:v>필수</x:v>
      </x:c>
      <x:c r="H25" s="11" t="str">
        <x:v>초안</x:v>
      </x:c>
      <x:c r="I25" s="11" t="str">
        <x:v>XML 값이 65535이며 화면 편집으로 축소할 수 없다.</x:v>
      </x:c>
      <x:c r="J25" s="11" t="str">
        <x:v>시험</x:v>
      </x:c>
      <x:c r="K25" s="11" t="str">
        <x:v>DES-003</x:v>
      </x:c>
      <x:c r="L25" s="11" t="str">
        <x:v>TC-020</x:v>
      </x:c>
      <x:c r="M25" s="11" t="str">
        <x:v>DEL-004
DEL-013
DEL-017
DEL-018
DEL-021</x:v>
      </x:c>
      <x:c r="N25" s="11" t="str">
        <x:v>KR-TL 프로파일·스키마 명세
TL 생성·서명 구현물
요구사항별 시험 명세서
기능·표준 적합성 시험 결과서
설치·운영·인계 지침서</x:v>
      </x:c>
      <x:c r="O25" s="11" t="str">
        <x:v>이력 보존 값의 입력·처리·실패 조건을 설계에 명시.
구현 위치를 연결하고 TC-020 실제 결과·로그로 인수 기준 충족을 입증.</x:v>
      </x:c>
      <x:c r="P25" s="11" t="str">
        <x:v>해당 범위 채택 시 제출</x:v>
      </x:c>
      <x:c r="Q25" s="12" t="str"/>
      <x:c r="R25" s="11" t="str">
        <x:v>FR</x:v>
      </x:c>
    </x:row>
    <x:row r="26" ht="87" customHeight="1">
      <x:c r="A26" s="6" t="str">
        <x:v>FR-021</x:v>
      </x:c>
      <x:c r="B26" s="6" t="str">
        <x:v>TL 형식</x:v>
      </x:c>
      <x:c r="C26" s="6" t="str">
        <x:v>발행·갱신 시각</x:v>
      </x:c>
      <x:c r="D26" s="6" t="str">
        <x:v>정상 발행은 UTC 발행 시각과 다음 갱신 시각을 구분하고 채택 표준의 간격 조건을 충족해야 한다.</x:v>
      </x:c>
      <x:c r="E26" s="6" t="str">
        <x:v>STD-01 §5.3.14·5.3.15; LEG-모델 §3</x:v>
      </x:c>
      <x:c r="F26" s="6" t="str">
        <x:v>공통</x:v>
      </x:c>
      <x:c r="G26" s="6" t="str">
        <x:v>필수</x:v>
      </x:c>
      <x:c r="H26" s="6" t="str">
        <x:v>초안</x:v>
      </x:c>
      <x:c r="I26" s="6" t="str">
        <x:v>정상값은 issuedAt보다 nextUpdate가 늦고 최대 간격은 달력 6개월 이내다. 위반값은 정상 BASELINE으로 분류되지 않는다.</x:v>
      </x:c>
      <x:c r="J26" s="6" t="str">
        <x:v>시험</x:v>
      </x:c>
      <x:c r="K26" s="6" t="str">
        <x:v>DES-003</x:v>
      </x:c>
      <x:c r="L26" s="6" t="str">
        <x:v>TC-021</x:v>
      </x:c>
      <x:c r="M26" s="6" t="str">
        <x:v>DEL-004
DEL-013
DEL-017
DEL-018
DEL-021</x:v>
      </x:c>
      <x:c r="N26" s="6" t="str">
        <x:v>KR-TL 프로파일·스키마 명세
TL 생성·서명 구현물
요구사항별 시험 명세서
기능·표준 적합성 시험 결과서
설치·운영·인계 지침서</x:v>
      </x:c>
      <x:c r="O26" s="6" t="str">
        <x:v>발행·갱신 시각의 입력·처리·실패 조건을 설계에 명시.
구현 위치를 연결하고 TC-021 실제 결과·로그로 인수 기준 충족을 입증.</x:v>
      </x:c>
      <x:c r="P26" s="6" t="str">
        <x:v>해당 범위 채택 시 제출</x:v>
      </x:c>
      <x:c r="Q26" s="12" t="str"/>
      <x:c r="R26" s="6" t="str">
        <x:v>FR</x:v>
      </x:c>
    </x:row>
    <x:row r="27" ht="87" customHeight="1">
      <x:c r="A27" s="11" t="str">
        <x:v>FR-022</x:v>
      </x:c>
      <x:c r="B27" s="11" t="str">
        <x:v>TL 형식</x:v>
      </x:c>
      <x:c r="C27" s="11" t="str">
        <x:v>국내 목록 유형 URI</x:v>
      </x:c>
      <x:c r="D27" s="11" t="str">
        <x:v>국내 목록 유형은 비EU CClist 규칙 또는 별도 공표한 URI에 따라 정의해야 한다.</x:v>
      </x:c>
      <x:c r="E27" s="11" t="str">
        <x:v>STD-01 §5.3.3·D.6; LEG-구조 §4</x:v>
      </x:c>
      <x:c r="F27" s="11" t="str">
        <x:v>공통</x:v>
      </x:c>
      <x:c r="G27" s="11" t="str">
        <x:v>필수</x:v>
      </x:c>
      <x:c r="H27" s="11" t="str">
        <x:v>초안</x:v>
      </x:c>
      <x:c r="I27" s="11" t="str">
        <x:v>프로파일에 전체 URI와 territory=KR의 대응을 기록하고 단순 문자열 KRlist만으로 적합성을 선언하지 않는다.</x:v>
      </x:c>
      <x:c r="J27" s="11" t="str">
        <x:v>시험</x:v>
      </x:c>
      <x:c r="K27" s="11" t="str">
        <x:v>DES-003</x:v>
      </x:c>
      <x:c r="L27" s="11" t="str">
        <x:v>TC-022</x:v>
      </x:c>
      <x:c r="M27" s="11" t="str">
        <x:v>DEL-004
DEL-013
DEL-017
DEL-018
DEL-021</x:v>
      </x:c>
      <x:c r="N27" s="11" t="str">
        <x:v>KR-TL 프로파일·스키마 명세
TL 생성·서명 구현물
요구사항별 시험 명세서
기능·표준 적합성 시험 결과서
설치·운영·인계 지침서</x:v>
      </x:c>
      <x:c r="O27" s="11" t="str">
        <x:v>국내 목록 유형 URI의 입력·처리·실패 조건을 설계에 명시.
구현 위치를 연결하고 TC-022 실제 결과·로그로 인수 기준 충족을 입증.</x:v>
      </x:c>
      <x:c r="P27" s="11" t="str">
        <x:v>해당 범위 채택 시 제출</x:v>
      </x:c>
      <x:c r="Q27" s="12" t="str"/>
      <x:c r="R27" s="11" t="str">
        <x:v>FR</x:v>
      </x:c>
    </x:row>
    <x:row r="28" ht="87" customHeight="1">
      <x:c r="A28" s="6" t="str">
        <x:v>FR-023</x:v>
      </x:c>
      <x:c r="B28" s="6" t="str">
        <x:v>TL 형식</x:v>
      </x:c>
      <x:c r="C28" s="6" t="str">
        <x:v>상태·유형 URI 프로파일</x:v>
      </x:c>
      <x:c r="D28" s="6" t="str">
        <x:v>국내 상태·서비스 유형 URI의 의미와 공표 여부를 프로파일에 구분해 기록해야 한다.</x:v>
      </x:c>
      <x:c r="E28" s="6" t="str">
        <x:v>STD-01 §5.5.1·5.5.4; LEG-프로파일</x:v>
      </x:c>
      <x:c r="F28" s="6" t="str">
        <x:v>공통</x:v>
      </x:c>
      <x:c r="G28" s="6" t="str">
        <x:v>필수</x:v>
      </x:c>
      <x:c r="H28" s="6" t="str">
        <x:v>초안</x:v>
      </x:c>
      <x:c r="I28" s="6" t="str">
        <x:v>PoC urn:example 값에는 임시 표시가 있고 국가 공표 URI로 표시하지 않는다.</x:v>
      </x:c>
      <x:c r="J28" s="6" t="str">
        <x:v>시험</x:v>
      </x:c>
      <x:c r="K28" s="6" t="str">
        <x:v>DES-003</x:v>
      </x:c>
      <x:c r="L28" s="6" t="str">
        <x:v>TC-023</x:v>
      </x:c>
      <x:c r="M28" s="6" t="str">
        <x:v>DEL-004
DEL-013
DEL-017
DEL-018
DEL-021</x:v>
      </x:c>
      <x:c r="N28" s="6" t="str">
        <x:v>KR-TL 프로파일·스키마 명세
TL 생성·서명 구현물
요구사항별 시험 명세서
기능·표준 적합성 시험 결과서
설치·운영·인계 지침서</x:v>
      </x:c>
      <x:c r="O28" s="6" t="str">
        <x:v>상태·유형 URI 프로파일의 입력·처리·실패 조건을 설계에 명시.
구현 위치를 연결하고 TC-023 실제 결과·로그로 인수 기준 충족을 입증.</x:v>
      </x:c>
      <x:c r="P28" s="6" t="str">
        <x:v>해당 범위 채택 시 제출</x:v>
      </x:c>
      <x:c r="Q28" s="12" t="str"/>
      <x:c r="R28" s="6" t="str">
        <x:v>FR</x:v>
      </x:c>
    </x:row>
    <x:row r="29" ht="87" customHeight="1">
      <x:c r="A29" s="11" t="str">
        <x:v>FR-024</x:v>
      </x:c>
      <x:c r="B29" s="11" t="str">
        <x:v>TL 형식</x:v>
      </x:c>
      <x:c r="C29" s="11" t="str">
        <x:v>확장 정보 보존</x:v>
      </x:c>
      <x:c r="D29" s="11" t="str">
        <x:v>신뢰 분야·CA 레벨 확장의 namespace·값·critical 여부를 현재와 이력에서 보존해야 한다.</x:v>
      </x:c>
      <x:c r="E29" s="11" t="str">
        <x:v>LEG-프로파일 KR 확장; STD-01 §5.5.9·5.6.6</x:v>
      </x:c>
      <x:c r="F29" s="11" t="str">
        <x:v>공통</x:v>
      </x:c>
      <x:c r="G29" s="11" t="str">
        <x:v>필수</x:v>
      </x:c>
      <x:c r="H29" s="11" t="str">
        <x:v>초안</x:v>
      </x:c>
      <x:c r="I29" s="11" t="str">
        <x:v>왕복 변환 후 namespace·값·critical이 같고 OCSP/TSA에 CA 레벨을 추가하지 않는다.</x:v>
      </x:c>
      <x:c r="J29" s="11" t="str">
        <x:v>시험</x:v>
      </x:c>
      <x:c r="K29" s="11" t="str">
        <x:v>DES-003</x:v>
      </x:c>
      <x:c r="L29" s="11" t="str">
        <x:v>TC-024</x:v>
      </x:c>
      <x:c r="M29" s="11" t="str">
        <x:v>DEL-004
DEL-013
DEL-017
DEL-018
DEL-021</x:v>
      </x:c>
      <x:c r="N29" s="11" t="str">
        <x:v>KR-TL 프로파일·스키마 명세
TL 생성·서명 구현물
요구사항별 시험 명세서
기능·표준 적합성 시험 결과서
설치·운영·인계 지침서</x:v>
      </x:c>
      <x:c r="O29" s="11" t="str">
        <x:v>확장 정보 보존의 입력·처리·실패 조건을 설계에 명시.
구현 위치를 연결하고 TC-024 실제 결과·로그로 인수 기준 충족을 입증.</x:v>
      </x:c>
      <x:c r="P29" s="11" t="str">
        <x:v>해당 범위 채택 시 제출</x:v>
      </x:c>
      <x:c r="Q29" s="12" t="str"/>
      <x:c r="R29" s="11" t="str">
        <x:v>FR</x:v>
      </x:c>
    </x:row>
    <x:row r="30" ht="87" customHeight="1">
      <x:c r="A30" s="6" t="str">
        <x:v>FR-025</x:v>
      </x:c>
      <x:c r="B30" s="6" t="str">
        <x:v>TL 형식</x:v>
      </x:c>
      <x:c r="C30" s="6" t="str">
        <x:v>전체 스키마 검증</x:v>
      </x:c>
      <x:c r="D30" s="6" t="str">
        <x:v>정상 적합성 주장용 XML은 채택 판본의 XSD 집합과 필수 필드를 만족해야 한다.</x:v>
      </x:c>
      <x:c r="E30" s="6" t="str">
        <x:v>STD-01 Annex C; STD-09; LEG-프로파일 한계</x:v>
      </x:c>
      <x:c r="F30" s="6" t="str">
        <x:v>적합성 보류</x:v>
      </x:c>
      <x:c r="G30" s="6" t="str">
        <x:v>필수</x:v>
      </x:c>
      <x:c r="H30" s="6" t="str">
        <x:v>보류</x:v>
      </x:c>
      <x:c r="I30" s="6" t="str">
        <x:v>OQ-005에서 확정한 스키마·프로파일로 정상 표본은 검증되고 필수 필드 누락 표본은 거부된다.</x:v>
      </x:c>
      <x:c r="J30" s="6" t="str">
        <x:v>검토</x:v>
      </x:c>
      <x:c r="K30" s="6" t="str">
        <x:v>DES-003</x:v>
      </x:c>
      <x:c r="L30" s="6" t="str">
        <x:v>TC-025</x:v>
      </x:c>
      <x:c r="M30" s="6" t="str">
        <x:v>DEL-004
DEL-013
DEL-017
DEL-018
DEL-021</x:v>
      </x:c>
      <x:c r="N30" s="6" t="str">
        <x:v>KR-TL 프로파일·스키마 명세
TL 생성·서명 구현물
요구사항별 시험 명세서
기능·표준 적합성 시험 결과서
설치·운영·인계 지침서</x:v>
      </x:c>
      <x:c r="O30" s="6" t="str">
        <x:v>전체 스키마 검증의 입력·처리·실패 조건을 설계에 명시.
구현 위치를 연결하고 TC-025 실제 결과·로그로 인수 기준 충족을 입증.</x:v>
      </x:c>
      <x:c r="P30" s="6" t="str">
        <x:v>범위 확정 후 제출</x:v>
      </x:c>
      <x:c r="Q30" s="12" t="str"/>
      <x:c r="R30" s="6" t="str">
        <x:v>FR</x:v>
      </x:c>
    </x:row>
    <x:row r="31" ht="87" customHeight="1">
      <x:c r="A31" s="11" t="str">
        <x:v>FR-026</x:v>
      </x:c>
      <x:c r="B31" s="11" t="str">
        <x:v>TL 형식</x:v>
      </x:c>
      <x:c r="C31" s="11" t="str">
        <x:v>언어 프로파일</x:v>
      </x:c>
      <x:c r="D31" s="11" t="str">
        <x:v>국내 표시 언어와 표준 적합성에 필요한 영문 언어 지원을 구분해 정의해야 한다.</x:v>
      </x:c>
      <x:c r="E31" s="11" t="str">
        <x:v>STD-01 §5.1.4; LEG-구조 §3</x:v>
      </x:c>
      <x:c r="F31" s="11" t="str">
        <x:v>적합성 보류</x:v>
      </x:c>
      <x:c r="G31" s="11" t="str">
        <x:v>필수</x:v>
      </x:c>
      <x:c r="H31" s="11" t="str">
        <x:v>보류</x:v>
      </x:c>
      <x:c r="I31" s="11" t="str">
        <x:v>OQ-005의 적합성 범위에 따라 en 필드를 제공하거나 미충족을 명시하며 한글 전용을 완전 준수로 표기하지 않는다.</x:v>
      </x:c>
      <x:c r="J31" s="11" t="str">
        <x:v>검토</x:v>
      </x:c>
      <x:c r="K31" s="11" t="str">
        <x:v>DES-003</x:v>
      </x:c>
      <x:c r="L31" s="11" t="str">
        <x:v>TC-026</x:v>
      </x:c>
      <x:c r="M31" s="11" t="str">
        <x:v>DEL-004
DEL-013
DEL-017
DEL-018
DEL-021</x:v>
      </x:c>
      <x:c r="N31" s="11" t="str">
        <x:v>KR-TL 프로파일·스키마 명세
TL 생성·서명 구현물
요구사항별 시험 명세서
기능·표준 적합성 시험 결과서
설치·운영·인계 지침서</x:v>
      </x:c>
      <x:c r="O31" s="11" t="str">
        <x:v>언어 프로파일의 입력·처리·실패 조건을 설계에 명시.
구현 위치를 연결하고 TC-026 실제 결과·로그로 인수 기준 충족을 입증.</x:v>
      </x:c>
      <x:c r="P31" s="11" t="str">
        <x:v>범위 확정 후 제출</x:v>
      </x:c>
      <x:c r="Q31" s="12" t="str"/>
      <x:c r="R31" s="11" t="str">
        <x:v>FR</x:v>
      </x:c>
    </x:row>
    <x:row r="32" ht="87" customHeight="1">
      <x:c r="A32" s="6" t="str">
        <x:v>FR-027</x:v>
      </x:c>
      <x:c r="B32" s="6" t="str">
        <x:v>저장·발행</x:v>
      </x:c>
      <x:c r="C32" s="6" t="str">
        <x:v>초안 버전 저장</x:v>
      </x:c>
      <x:c r="D32" s="6" t="str">
        <x:v>초안 저장마다 새로운 revision을 만들고 활성 revision을 식별해야 한다.</x:v>
      </x:c>
      <x:c r="E32" s="6" t="str">
        <x:v>LEG-복구 저장 배치</x:v>
      </x:c>
      <x:c r="F32" s="6" t="str">
        <x:v>공통</x:v>
      </x:c>
      <x:c r="G32" s="6" t="str">
        <x:v>필수</x:v>
      </x:c>
      <x:c r="H32" s="6" t="str">
        <x:v>초안</x:v>
      </x:c>
      <x:c r="I32" s="6" t="str">
        <x:v>연속 저장의 revision이 구분되고 이전 revision 파일 해시가 유지된다.</x:v>
      </x:c>
      <x:c r="J32" s="6" t="str">
        <x:v>시험</x:v>
      </x:c>
      <x:c r="K32" s="6" t="str">
        <x:v>DES-004</x:v>
      </x:c>
      <x:c r="L32" s="6" t="str">
        <x:v>TC-027</x:v>
      </x:c>
      <x:c r="M32" s="6" t="str">
        <x:v>DEL-005
DEL-014
DEL-017
DEL-018
DEL-021</x:v>
      </x:c>
      <x:c r="N32" s="6" t="str">
        <x:v>발행·저장·복구 설계서
발행 저장·공개 API 구현물
요구사항별 시험 명세서
기능·표준 적합성 시험 결과서
설치·운영·인계 지침서</x:v>
      </x:c>
      <x:c r="O32" s="6" t="str">
        <x:v>초안 버전 저장의 입력·처리·실패 조건을 설계에 명시.
구현 위치를 연결하고 TC-027 실제 결과·로그로 인수 기준 충족을 입증.</x:v>
      </x:c>
      <x:c r="P32" s="6" t="str">
        <x:v>해당 범위 채택 시 제출</x:v>
      </x:c>
      <x:c r="Q32" s="12" t="str"/>
      <x:c r="R32" s="6" t="str">
        <x:v>FR</x:v>
      </x:c>
    </x:row>
    <x:row r="33" ht="87" customHeight="1">
      <x:c r="A33" s="11" t="str">
        <x:v>FR-028</x:v>
      </x:c>
      <x:c r="B33" s="11" t="str">
        <x:v>저장·발행</x:v>
      </x:c>
      <x:c r="C33" s="11" t="str">
        <x:v>오래된 초안 갱신 거부</x:v>
      </x:c>
      <x:c r="D33" s="11" t="str">
        <x:v>저장·신규 발행은 기대 draftRevision이 현재 값과 다르면 충돌로 거부해야 한다.</x:v>
      </x:c>
      <x:c r="E33" s="11" t="str">
        <x:v>LEG-복구 동시성</x:v>
      </x:c>
      <x:c r="F33" s="11" t="str">
        <x:v>공통</x:v>
      </x:c>
      <x:c r="G33" s="11" t="str">
        <x:v>필수</x:v>
      </x:c>
      <x:c r="H33" s="11" t="str">
        <x:v>초안</x:v>
      </x:c>
      <x:c r="I33" s="11" t="str">
        <x:v>오래된 revision 요청은 저장·발행을 수행하지 않고 최신 초안이 유지된다.</x:v>
      </x:c>
      <x:c r="J33" s="11" t="str">
        <x:v>시험</x:v>
      </x:c>
      <x:c r="K33" s="11" t="str">
        <x:v>DES-004</x:v>
      </x:c>
      <x:c r="L33" s="11" t="str">
        <x:v>TC-028</x:v>
      </x:c>
      <x:c r="M33" s="11" t="str">
        <x:v>DEL-005
DEL-014
DEL-017
DEL-018
DEL-021</x:v>
      </x:c>
      <x:c r="N33" s="11" t="str">
        <x:v>발행·저장·복구 설계서
발행 저장·공개 API 구현물
요구사항별 시험 명세서
기능·표준 적합성 시험 결과서
설치·운영·인계 지침서</x:v>
      </x:c>
      <x:c r="O33" s="11" t="str">
        <x:v>오래된 초안 갱신 거부의 입력·처리·실패 조건을 설계에 명시.
구현 위치를 연결하고 TC-028 실제 결과·로그로 인수 기준 충족을 입증.</x:v>
      </x:c>
      <x:c r="P33" s="11" t="str">
        <x:v>해당 범위 채택 시 제출</x:v>
      </x:c>
      <x:c r="Q33" s="12" t="str"/>
      <x:c r="R33" s="11" t="str">
        <x:v>FR</x:v>
      </x:c>
    </x:row>
    <x:row r="34" ht="87" customHeight="1">
      <x:c r="A34" s="6" t="str">
        <x:v>FR-029</x:v>
      </x:c>
      <x:c r="B34" s="6" t="str">
        <x:v>저장·발행</x:v>
      </x:c>
      <x:c r="C34" s="6" t="str">
        <x:v>불변 발행본 식별</x:v>
      </x:c>
      <x:c r="D34" s="6" t="str">
        <x:v>실제 발행본은 순번과 별도의 issuanceId로 보관해야 한다.</x:v>
      </x:c>
      <x:c r="E34" s="6" t="str">
        <x:v>LEG-모델 §3; LEG-복구 저장 배치</x:v>
      </x:c>
      <x:c r="F34" s="6" t="str">
        <x:v>공통</x:v>
      </x:c>
      <x:c r="G34" s="6" t="str">
        <x:v>필수</x:v>
      </x:c>
      <x:c r="H34" s="6" t="str">
        <x:v>초안</x:v>
      </x:c>
      <x:c r="I34" s="6" t="str">
        <x:v>같은 순번·다른 내용의 발행본 2개가 다른 issuanceId로 보존된다.</x:v>
      </x:c>
      <x:c r="J34" s="6" t="str">
        <x:v>시험</x:v>
      </x:c>
      <x:c r="K34" s="6" t="str">
        <x:v>DES-004</x:v>
      </x:c>
      <x:c r="L34" s="6" t="str">
        <x:v>TC-029</x:v>
      </x:c>
      <x:c r="M34" s="6" t="str">
        <x:v>DEL-005
DEL-014
DEL-017
DEL-018
DEL-021</x:v>
      </x:c>
      <x:c r="N34" s="6" t="str">
        <x:v>발행·저장·복구 설계서
발행 저장·공개 API 구현물
요구사항별 시험 명세서
기능·표준 적합성 시험 결과서
설치·운영·인계 지침서</x:v>
      </x:c>
      <x:c r="O34" s="6" t="str">
        <x:v>불변 발행본 식별의 입력·처리·실패 조건을 설계에 명시.
구현 위치를 연결하고 TC-029 실제 결과·로그로 인수 기준 충족을 입증.</x:v>
      </x:c>
      <x:c r="P34" s="6" t="str">
        <x:v>해당 범위 채택 시 제출</x:v>
      </x:c>
      <x:c r="Q34" s="12" t="str"/>
      <x:c r="R34" s="6" t="str">
        <x:v>FR</x:v>
      </x:c>
    </x:row>
    <x:row r="35" ht="87" customHeight="1">
      <x:c r="A35" s="11" t="str">
        <x:v>FR-030</x:v>
      </x:c>
      <x:c r="B35" s="11" t="str">
        <x:v>저장·발행</x:v>
      </x:c>
      <x:c r="C35" s="11" t="str">
        <x:v>동일 요청 재사용</x:v>
      </x:c>
      <x:c r="D35" s="11" t="str">
        <x:v>같은 requestId·같은 입력의 확정 요청은 저장된 결과를 반환해야 한다.</x:v>
      </x:c>
      <x:c r="E35" s="11" t="str">
        <x:v>LEG-복구 요청 식별</x:v>
      </x:c>
      <x:c r="F35" s="11" t="str">
        <x:v>공통</x:v>
      </x:c>
      <x:c r="G35" s="11" t="str">
        <x:v>필수</x:v>
      </x:c>
      <x:c r="H35" s="11" t="str">
        <x:v>초안</x:v>
      </x:c>
      <x:c r="I35" s="11" t="str">
        <x:v>동일 issuanceId·XML 바이트를 반환하고 추가 서명 호출은 0회다.</x:v>
      </x:c>
      <x:c r="J35" s="11" t="str">
        <x:v>시험</x:v>
      </x:c>
      <x:c r="K35" s="11" t="str">
        <x:v>DES-004</x:v>
      </x:c>
      <x:c r="L35" s="11" t="str">
        <x:v>TC-030</x:v>
      </x:c>
      <x:c r="M35" s="11" t="str">
        <x:v>DEL-005
DEL-014
DEL-017
DEL-018
DEL-021</x:v>
      </x:c>
      <x:c r="N35" s="11" t="str">
        <x:v>발행·저장·복구 설계서
발행 저장·공개 API 구현물
요구사항별 시험 명세서
기능·표준 적합성 시험 결과서
설치·운영·인계 지침서</x:v>
      </x:c>
      <x:c r="O35" s="11" t="str">
        <x:v>동일 요청 재사용의 입력·처리·실패 조건을 설계에 명시.
구현 위치를 연결하고 TC-030 실제 결과·로그로 인수 기준 충족을 입증.</x:v>
      </x:c>
      <x:c r="P35" s="11" t="str">
        <x:v>해당 범위 채택 시 제출</x:v>
      </x:c>
      <x:c r="Q35" s="12" t="str"/>
      <x:c r="R35" s="11" t="str">
        <x:v>FR</x:v>
      </x:c>
    </x:row>
    <x:row r="36" ht="87" customHeight="1">
      <x:c r="A36" s="6" t="str">
        <x:v>FR-031</x:v>
      </x:c>
      <x:c r="B36" s="6" t="str">
        <x:v>저장·발행</x:v>
      </x:c>
      <x:c r="C36" s="6" t="str">
        <x:v>요청 ID 충돌 거부</x:v>
      </x:c>
      <x:c r="D36" s="6" t="str">
        <x:v>동일 requestId의 다른 입력은 REQUEST_CONFLICT로 거부해야 한다.</x:v>
      </x:c>
      <x:c r="E36" s="6" t="str">
        <x:v>LEG-복구 요청 식별</x:v>
      </x:c>
      <x:c r="F36" s="6" t="str">
        <x:v>공통</x:v>
      </x:c>
      <x:c r="G36" s="6" t="str">
        <x:v>필수</x:v>
      </x:c>
      <x:c r="H36" s="6" t="str">
        <x:v>초안</x:v>
      </x:c>
      <x:c r="I36" s="6" t="str">
        <x:v>충돌을 반환하고 기존 발행 파일 해시와 결과 매핑을 유지한다.</x:v>
      </x:c>
      <x:c r="J36" s="6" t="str">
        <x:v>시험</x:v>
      </x:c>
      <x:c r="K36" s="6" t="str">
        <x:v>DES-004</x:v>
      </x:c>
      <x:c r="L36" s="6" t="str">
        <x:v>TC-031</x:v>
      </x:c>
      <x:c r="M36" s="6" t="str">
        <x:v>DEL-005
DEL-014
DEL-017
DEL-018
DEL-021</x:v>
      </x:c>
      <x:c r="N36" s="6" t="str">
        <x:v>발행·저장·복구 설계서
발행 저장·공개 API 구현물
요구사항별 시험 명세서
기능·표준 적합성 시험 결과서
설치·운영·인계 지침서</x:v>
      </x:c>
      <x:c r="O36" s="6" t="str">
        <x:v>요청 ID 충돌 거부의 입력·처리·실패 조건을 설계에 명시.
구현 위치를 연결하고 TC-031 실제 결과·로그로 인수 기준 충족을 입증.</x:v>
      </x:c>
      <x:c r="P36" s="6" t="str">
        <x:v>해당 범위 채택 시 제출</x:v>
      </x:c>
      <x:c r="Q36" s="12" t="str"/>
      <x:c r="R36" s="6" t="str">
        <x:v>FR</x:v>
      </x:c>
    </x:row>
    <x:row r="37" ht="87" customHeight="1">
      <x:c r="A37" s="11" t="str">
        <x:v>FR-032</x:v>
      </x:c>
      <x:c r="B37" s="11" t="str">
        <x:v>저장·발행</x:v>
      </x:c>
      <x:c r="C37" s="11" t="str">
        <x:v>발행 확정 시점</x:v>
      </x:c>
      <x:c r="D37" s="11" t="str">
        <x:v>불변 파일을 저장하고 state 교체가 성공한 뒤에만 발행 성공을 반환해야 한다.</x:v>
      </x:c>
      <x:c r="E37" s="11" t="str">
        <x:v>LEG-복구 확정 절차</x:v>
      </x:c>
      <x:c r="F37" s="11" t="str">
        <x:v>공통</x:v>
      </x:c>
      <x:c r="G37" s="11" t="str">
        <x:v>필수</x:v>
      </x:c>
      <x:c r="H37" s="11" t="str">
        <x:v>초안</x:v>
      </x:c>
      <x:c r="I37" s="11" t="str">
        <x:v>state 교체 전 중단은 미확정, 교체 후 응답 유실은 기존 성공으로 복구된다.</x:v>
      </x:c>
      <x:c r="J37" s="11" t="str">
        <x:v>시험</x:v>
      </x:c>
      <x:c r="K37" s="11" t="str">
        <x:v>DES-004</x:v>
      </x:c>
      <x:c r="L37" s="11" t="str">
        <x:v>TC-032</x:v>
      </x:c>
      <x:c r="M37" s="11" t="str">
        <x:v>DEL-005
DEL-014
DEL-017
DEL-018
DEL-021</x:v>
      </x:c>
      <x:c r="N37" s="11" t="str">
        <x:v>발행·저장·복구 설계서
발행 저장·공개 API 구현물
요구사항별 시험 명세서
기능·표준 적합성 시험 결과서
설치·운영·인계 지침서</x:v>
      </x:c>
      <x:c r="O37" s="11" t="str">
        <x:v>발행 확정 시점의 입력·처리·실패 조건을 설계에 명시.
구현 위치를 연결하고 TC-032 실제 결과·로그로 인수 기준 충족을 입증.</x:v>
      </x:c>
      <x:c r="P37" s="11" t="str">
        <x:v>해당 범위 채택 시 제출</x:v>
      </x:c>
      <x:c r="Q37" s="12" t="str"/>
      <x:c r="R37" s="11" t="str">
        <x:v>FR</x:v>
      </x:c>
    </x:row>
    <x:row r="38" ht="87" customHeight="1">
      <x:c r="A38" s="6" t="str">
        <x:v>FR-033</x:v>
      </x:c>
      <x:c r="B38" s="6" t="str">
        <x:v>저장·발행</x:v>
      </x:c>
      <x:c r="C38" s="6" t="str">
        <x:v>시험용 의미 오류 생성</x:v>
      </x:c>
      <x:c r="D38" s="6" t="str">
        <x:v>PoC는 표현 가능한 순번·발행·갱신·상태 시각의 의미 오류를 TRIAL로 생성할 수 있어야 한다.</x:v>
      </x:c>
      <x:c r="E38" s="6" t="str">
        <x:v>POL-01 오류 발행 결정; LEG-적용 정상값과 시험</x:v>
      </x:c>
      <x:c r="F38" s="6" t="str">
        <x:v>PoC</x:v>
      </x:c>
      <x:c r="G38" s="6" t="str">
        <x:v>필수</x:v>
      </x:c>
      <x:c r="H38" s="6" t="str">
        <x:v>초안</x:v>
      </x:c>
      <x:c r="I38" s="6" t="str">
        <x:v>각 조정값이 후보·XML에 반영되고 정상값으로 자동 교정하지 않는다.</x:v>
      </x:c>
      <x:c r="J38" s="6" t="str">
        <x:v>시험</x:v>
      </x:c>
      <x:c r="K38" s="6" t="str">
        <x:v>DES-004</x:v>
      </x:c>
      <x:c r="L38" s="6" t="str">
        <x:v>TC-033</x:v>
      </x:c>
      <x:c r="M38" s="6" t="str">
        <x:v>DEL-005
DEL-014
DEL-017
DEL-018
DEL-021</x:v>
      </x:c>
      <x:c r="N38" s="6" t="str">
        <x:v>발행·저장·복구 설계서
발행 저장·공개 API 구현물
요구사항별 시험 명세서
기능·표준 적합성 시험 결과서
설치·운영·인계 지침서</x:v>
      </x:c>
      <x:c r="O38" s="6" t="str">
        <x:v>시험용 의미 오류 생성의 입력·처리·실패 조건을 설계에 명시.
구현 위치를 연결하고 TC-033 실제 결과·로그로 인수 기준 충족을 입증.</x:v>
      </x:c>
      <x:c r="P38" s="6" t="str">
        <x:v>해당 범위 채택 시 제출</x:v>
      </x:c>
      <x:c r="Q38" s="12" t="str"/>
      <x:c r="R38" s="6" t="str">
        <x:v>FR</x:v>
      </x:c>
    </x:row>
    <x:row r="39" ht="87" customHeight="1">
      <x:c r="A39" s="11" t="str">
        <x:v>FR-034</x:v>
      </x:c>
      <x:c r="B39" s="11" t="str">
        <x:v>저장·발행</x:v>
      </x:c>
      <x:c r="C39" s="11" t="str">
        <x:v>모델 구성 불가 입력 거부</x:v>
      </x:c>
      <x:c r="D39" s="11" t="str">
        <x:v>날짜 파싱 불가·필수 디지털 ID 누락·미지원 상태 값은 생성 실패로 처리해야 한다.</x:v>
      </x:c>
      <x:c r="E39" s="11" t="str">
        <x:v>LEG-적용 정상값과 시험</x:v>
      </x:c>
      <x:c r="F39" s="11" t="str">
        <x:v>공통</x:v>
      </x:c>
      <x:c r="G39" s="11" t="str">
        <x:v>필수</x:v>
      </x:c>
      <x:c r="H39" s="11" t="str">
        <x:v>초안</x:v>
      </x:c>
      <x:c r="I39" s="11" t="str">
        <x:v>각 입력에 오류를 반환하고 신규 확정 발행본은 0개다.</x:v>
      </x:c>
      <x:c r="J39" s="11" t="str">
        <x:v>시험</x:v>
      </x:c>
      <x:c r="K39" s="11" t="str">
        <x:v>DES-004</x:v>
      </x:c>
      <x:c r="L39" s="11" t="str">
        <x:v>TC-034</x:v>
      </x:c>
      <x:c r="M39" s="11" t="str">
        <x:v>DEL-005
DEL-014
DEL-017
DEL-018
DEL-021</x:v>
      </x:c>
      <x:c r="N39" s="11" t="str">
        <x:v>발행·저장·복구 설계서
발행 저장·공개 API 구현물
요구사항별 시험 명세서
기능·표준 적합성 시험 결과서
설치·운영·인계 지침서</x:v>
      </x:c>
      <x:c r="O39" s="11" t="str">
        <x:v>모델 구성 불가 입력 거부의 입력·처리·실패 조건을 설계에 명시.
구현 위치를 연결하고 TC-034 실제 결과·로그로 인수 기준 충족을 입증.</x:v>
      </x:c>
      <x:c r="P39" s="11" t="str">
        <x:v>해당 범위 채택 시 제출</x:v>
      </x:c>
      <x:c r="Q39" s="12" t="str"/>
      <x:c r="R39" s="11" t="str">
        <x:v>FR</x:v>
      </x:c>
    </x:row>
    <x:row r="40" ht="87" customHeight="1">
      <x:c r="A40" s="6" t="str">
        <x:v>FR-035</x:v>
      </x:c>
      <x:c r="B40" s="6" t="str">
        <x:v>저장·발행</x:v>
      </x:c>
      <x:c r="C40" s="6" t="str">
        <x:v>프로파일 스냅숏 보존</x:v>
      </x:c>
      <x:c r="D40" s="6" t="str">
        <x:v>발행에 사용한 프로파일 버전·설정·해시를 발행본과 함께 보존해야 한다.</x:v>
      </x:c>
      <x:c r="E40" s="6" t="str">
        <x:v>LEG-프로파일 식별과 호환성; LEG-복구 manifest</x:v>
      </x:c>
      <x:c r="F40" s="6" t="str">
        <x:v>공통</x:v>
      </x:c>
      <x:c r="G40" s="6" t="str">
        <x:v>필수</x:v>
      </x:c>
      <x:c r="H40" s="6" t="str">
        <x:v>초안</x:v>
      </x:c>
      <x:c r="I40" s="6" t="str">
        <x:v>프로파일 설정 변경 후에도 과거 발행본의 설정·해시·XML이 동일하다.</x:v>
      </x:c>
      <x:c r="J40" s="6" t="str">
        <x:v>시험</x:v>
      </x:c>
      <x:c r="K40" s="6" t="str">
        <x:v>DES-004</x:v>
      </x:c>
      <x:c r="L40" s="6" t="str">
        <x:v>TC-035</x:v>
      </x:c>
      <x:c r="M40" s="6" t="str">
        <x:v>DEL-005
DEL-014
DEL-017
DEL-018
DEL-021</x:v>
      </x:c>
      <x:c r="N40" s="6" t="str">
        <x:v>발행·저장·복구 설계서
발행 저장·공개 API 구현물
요구사항별 시험 명세서
기능·표준 적합성 시험 결과서
설치·운영·인계 지침서</x:v>
      </x:c>
      <x:c r="O40" s="6" t="str">
        <x:v>프로파일 스냅숏 보존의 입력·처리·실패 조건을 설계에 명시.
구현 위치를 연결하고 TC-035 실제 결과·로그로 인수 기준 충족을 입증.</x:v>
      </x:c>
      <x:c r="P40" s="6" t="str">
        <x:v>해당 범위 채택 시 제출</x:v>
      </x:c>
      <x:c r="Q40" s="12" t="str"/>
      <x:c r="R40" s="6" t="str">
        <x:v>FR</x:v>
      </x:c>
    </x:row>
    <x:row r="41" ht="87" customHeight="1">
      <x:c r="A41" s="11" t="str">
        <x:v>FR-036</x:v>
      </x:c>
      <x:c r="B41" s="11" t="str">
        <x:v>제공·조회</x:v>
      </x:c>
      <x:c r="C41" s="11" t="str">
        <x:v>제공본 명시 선택</x:v>
      </x:c>
      <x:c r="D41" s="11" t="str">
        <x:v>관리자가 선택한 확정 issuanceId를 현재 제공본으로 사용해야 한다.</x:v>
      </x:c>
      <x:c r="E41" s="11" t="str">
        <x:v>LEG-조회 §2; LEG-복구 제공본 선택</x:v>
      </x:c>
      <x:c r="F41" s="11" t="str">
        <x:v>공통</x:v>
      </x:c>
      <x:c r="G41" s="11" t="str">
        <x:v>필수</x:v>
      </x:c>
      <x:c r="H41" s="11" t="str">
        <x:v>초안</x:v>
      </x:c>
      <x:c r="I41" s="11" t="str">
        <x:v>선택본을 제공하고 더 큰 순번의 다른 파일로 자동 전환하지 않는다.</x:v>
      </x:c>
      <x:c r="J41" s="11" t="str">
        <x:v>시험</x:v>
      </x:c>
      <x:c r="K41" s="11" t="str">
        <x:v>DES-005</x:v>
      </x:c>
      <x:c r="L41" s="11" t="str">
        <x:v>TC-036</x:v>
      </x:c>
      <x:c r="M41" s="11" t="str">
        <x:v>DEL-006
DEL-014
DEL-017
DEL-018
DEL-021</x:v>
      </x:c>
      <x:c r="N41" s="11" t="str">
        <x:v>TL 제공 API 명세서
발행 저장·공개 API 구현물
요구사항별 시험 명세서
기능·표준 적합성 시험 결과서
설치·운영·인계 지침서</x:v>
      </x:c>
      <x:c r="O41" s="11" t="str">
        <x:v>제공본 명시 선택의 입력·처리·실패 조건을 설계에 명시.
구현 위치를 연결하고 TC-036 실제 결과·로그로 인수 기준 충족을 입증.</x:v>
      </x:c>
      <x:c r="P41" s="11" t="str">
        <x:v>해당 범위 채택 시 제출</x:v>
      </x:c>
      <x:c r="Q41" s="12" t="str"/>
      <x:c r="R41" s="11" t="str">
        <x:v>FR</x:v>
      </x:c>
    </x:row>
    <x:row r="42" ht="87" customHeight="1">
      <x:c r="A42" s="6" t="str">
        <x:v>FR-037</x:v>
      </x:c>
      <x:c r="B42" s="6" t="str">
        <x:v>제공·조회</x:v>
      </x:c>
      <x:c r="C42" s="6" t="str">
        <x:v>제공 선택 충돌 검출</x:v>
      </x:c>
      <x:c r="D42" s="6" t="str">
        <x:v>제공본 선택은 기대 publicationRevision을 검사해야 한다.</x:v>
      </x:c>
      <x:c r="E42" s="6" t="str">
        <x:v>LEG-복구 제공본 선택</x:v>
      </x:c>
      <x:c r="F42" s="6" t="str">
        <x:v>공통</x:v>
      </x:c>
      <x:c r="G42" s="6" t="str">
        <x:v>필수</x:v>
      </x:c>
      <x:c r="H42" s="6" t="str">
        <x:v>초안</x:v>
      </x:c>
      <x:c r="I42" s="6" t="str">
        <x:v>지연된 선택 요청이 충돌하고 최신 제공 포인터를 덮어쓰지 않는다.</x:v>
      </x:c>
      <x:c r="J42" s="6" t="str">
        <x:v>시험</x:v>
      </x:c>
      <x:c r="K42" s="6" t="str">
        <x:v>DES-005</x:v>
      </x:c>
      <x:c r="L42" s="6" t="str">
        <x:v>TC-037</x:v>
      </x:c>
      <x:c r="M42" s="6" t="str">
        <x:v>DEL-006
DEL-014
DEL-017
DEL-018
DEL-021</x:v>
      </x:c>
      <x:c r="N42" s="6" t="str">
        <x:v>TL 제공 API 명세서
발행 저장·공개 API 구현물
요구사항별 시험 명세서
기능·표준 적합성 시험 결과서
설치·운영·인계 지침서</x:v>
      </x:c>
      <x:c r="O42" s="6" t="str">
        <x:v>제공 선택 충돌 검출의 입력·처리·실패 조건을 설계에 명시.
구현 위치를 연결하고 TC-037 실제 결과·로그로 인수 기준 충족을 입증.</x:v>
      </x:c>
      <x:c r="P42" s="6" t="str">
        <x:v>해당 범위 채택 시 제출</x:v>
      </x:c>
      <x:c r="Q42" s="12" t="str"/>
      <x:c r="R42" s="6" t="str">
        <x:v>FR</x:v>
      </x:c>
    </x:row>
    <x:row r="43" ht="87" customHeight="1">
      <x:c r="A43" s="11" t="str">
        <x:v>FR-038</x:v>
      </x:c>
      <x:c r="B43" s="11" t="str">
        <x:v>제공·조회</x:v>
      </x:c>
      <x:c r="C43" s="11" t="str">
        <x:v>서명 XML 원문 제공</x:v>
      </x:c>
      <x:c r="D43" s="11" t="str">
        <x:v>GET /tl/kr-tl.xml은 선택된 서명 XML 바이트를 변환 없이 반환해야 한다.</x:v>
      </x:c>
      <x:c r="E43" s="11" t="str">
        <x:v>STD-01 §6.1·6.2; LEG-조회 §3</x:v>
      </x:c>
      <x:c r="F43" s="11" t="str">
        <x:v>공통</x:v>
      </x:c>
      <x:c r="G43" s="11" t="str">
        <x:v>필수</x:v>
      </x:c>
      <x:c r="H43" s="11" t="str">
        <x:v>초안</x:v>
      </x:c>
      <x:c r="I43" s="11" t="str">
        <x:v>응답 바이트가 저장본과 같고 Content-Type은 application/vnd.etsi.tsl+xml이다.</x:v>
      </x:c>
      <x:c r="J43" s="11" t="str">
        <x:v>시험</x:v>
      </x:c>
      <x:c r="K43" s="11" t="str">
        <x:v>DES-005</x:v>
      </x:c>
      <x:c r="L43" s="11" t="str">
        <x:v>TC-038</x:v>
      </x:c>
      <x:c r="M43" s="11" t="str">
        <x:v>DEL-006
DEL-014
DEL-017
DEL-018
DEL-021</x:v>
      </x:c>
      <x:c r="N43" s="11" t="str">
        <x:v>TL 제공 API 명세서
발행 저장·공개 API 구현물
요구사항별 시험 명세서
기능·표준 적합성 시험 결과서
설치·운영·인계 지침서</x:v>
      </x:c>
      <x:c r="O43" s="11" t="str">
        <x:v>서명 XML 원문 제공의 입력·처리·실패 조건을 설계에 명시.
구현 위치를 연결하고 TC-038 실제 결과·로그로 인수 기준 충족을 입증.</x:v>
      </x:c>
      <x:c r="P43" s="11" t="str">
        <x:v>해당 범위 채택 시 제출</x:v>
      </x:c>
      <x:c r="Q43" s="12" t="str"/>
      <x:c r="R43" s="11" t="str">
        <x:v>FR</x:v>
      </x:c>
    </x:row>
    <x:row r="44" ht="87" customHeight="1">
      <x:c r="A44" s="6" t="str">
        <x:v>FR-039</x:v>
      </x:c>
      <x:c r="B44" s="6" t="str">
        <x:v>제공·조회</x:v>
      </x:c>
      <x:c r="C44" s="6" t="str">
        <x:v>조건부 조회</x:v>
      </x:c>
      <x:c r="D44" s="6" t="str">
        <x:v>ETag와 If-None-Match 조건에 따라 XML의 변경 여부를 응답해야 한다.</x:v>
      </x:c>
      <x:c r="E44" s="6" t="str">
        <x:v>STD-07 §8.8.3·13.1.2·15.4.5; LEG-조회 §3</x:v>
      </x:c>
      <x:c r="F44" s="6" t="str">
        <x:v>공통</x:v>
      </x:c>
      <x:c r="G44" s="6" t="str">
        <x:v>필수</x:v>
      </x:c>
      <x:c r="H44" s="6" t="str">
        <x:v>초안</x:v>
      </x:c>
      <x:c r="I44" s="6" t="str">
        <x:v>동일 태그·약한 태그·목록 일치·별표 조건을 HTTP 규칙에 따라 처리하며 304 본문은 없다.</x:v>
      </x:c>
      <x:c r="J44" s="6" t="str">
        <x:v>시험</x:v>
      </x:c>
      <x:c r="K44" s="6" t="str">
        <x:v>DES-005</x:v>
      </x:c>
      <x:c r="L44" s="6" t="str">
        <x:v>TC-039</x:v>
      </x:c>
      <x:c r="M44" s="6" t="str">
        <x:v>DEL-006
DEL-014
DEL-017
DEL-018
DEL-021</x:v>
      </x:c>
      <x:c r="N44" s="6" t="str">
        <x:v>TL 제공 API 명세서
발행 저장·공개 API 구현물
요구사항별 시험 명세서
기능·표준 적합성 시험 결과서
설치·운영·인계 지침서</x:v>
      </x:c>
      <x:c r="O44" s="6" t="str">
        <x:v>조건부 조회의 입력·처리·실패 조건을 설계에 명시.
구현 위치를 연결하고 TC-039 실제 결과·로그로 인수 기준 충족을 입증.</x:v>
      </x:c>
      <x:c r="P44" s="6" t="str">
        <x:v>해당 범위 채택 시 제출</x:v>
      </x:c>
      <x:c r="Q44" s="12" t="str"/>
      <x:c r="R44" s="6" t="str">
        <x:v>FR</x:v>
      </x:c>
    </x:row>
    <x:row r="45" ht="87" customHeight="1">
      <x:c r="A45" s="11" t="str">
        <x:v>FR-040</x:v>
      </x:c>
      <x:c r="B45" s="11" t="str">
        <x:v>제공·조회</x:v>
      </x:c>
      <x:c r="C45" s="11" t="str">
        <x:v>보조 해시 제공</x:v>
      </x:c>
      <x:c r="D45" s="11" t="str">
        <x:v>GET /tl/kr-tl.sha2는 선택 XML의 SHA-256을 프로젝트 계약의 raw 32바이트로 제공해야 한다.</x:v>
      </x:c>
      <x:c r="E45" s="11" t="str">
        <x:v>STD-01 §6.1; LEG-조회 §4 표현 선택</x:v>
      </x:c>
      <x:c r="F45" s="11" t="str">
        <x:v>공통</x:v>
      </x:c>
      <x:c r="G45" s="11" t="str">
        <x:v>필수</x:v>
      </x:c>
      <x:c r="H45" s="11" t="str">
        <x:v>초안</x:v>
      </x:c>
      <x:c r="I45" s="11" t="str">
        <x:v>응답 길이 32이고 값이 XML 바이트의 SHA-256과 같다.</x:v>
      </x:c>
      <x:c r="J45" s="11" t="str">
        <x:v>시험</x:v>
      </x:c>
      <x:c r="K45" s="11" t="str">
        <x:v>DES-005</x:v>
      </x:c>
      <x:c r="L45" s="11" t="str">
        <x:v>TC-040</x:v>
      </x:c>
      <x:c r="M45" s="11" t="str">
        <x:v>DEL-006
DEL-014
DEL-017
DEL-018
DEL-021</x:v>
      </x:c>
      <x:c r="N45" s="11" t="str">
        <x:v>TL 제공 API 명세서
발행 저장·공개 API 구현물
요구사항별 시험 명세서
기능·표준 적합성 시험 결과서
설치·운영·인계 지침서</x:v>
      </x:c>
      <x:c r="O45" s="11" t="str">
        <x:v>보조 해시 제공의 입력·처리·실패 조건을 설계에 명시.
구현 위치를 연결하고 TC-040 실제 결과·로그로 인수 기준 충족을 입증.</x:v>
      </x:c>
      <x:c r="P45" s="11" t="str">
        <x:v>해당 범위 채택 시 제출</x:v>
      </x:c>
      <x:c r="Q45" s="12" t="str"/>
      <x:c r="R45" s="11" t="str">
        <x:v>FR</x:v>
      </x:c>
    </x:row>
    <x:row r="46" ht="87" customHeight="1">
      <x:c r="A46" s="6" t="str">
        <x:v>FR-041</x:v>
      </x:c>
      <x:c r="B46" s="6" t="str">
        <x:v>제공·조회</x:v>
      </x:c>
      <x:c r="C46" s="6" t="str">
        <x:v>제공 실패 응답</x:v>
      </x:c>
      <x:c r="D46" s="6" t="str">
        <x:v>미선택과 선택본 손상을 구분하여 오류 상태를 반환해야 한다.</x:v>
      </x:c>
      <x:c r="E46" s="6" t="str">
        <x:v>LEG-조회 §5; LEG-복구 장애 처리</x:v>
      </x:c>
      <x:c r="F46" s="6" t="str">
        <x:v>공통</x:v>
      </x:c>
      <x:c r="G46" s="6" t="str">
        <x:v>필수</x:v>
      </x:c>
      <x:c r="H46" s="6" t="str">
        <x:v>초안</x:v>
      </x:c>
      <x:c r="I46" s="6" t="str">
        <x:v>미선택은 404/TL_NOT_PUBLISHED, 손상은 503/TL_UNAVAILABLE이며 정상본으로 자동 대체하지 않는다.</x:v>
      </x:c>
      <x:c r="J46" s="6" t="str">
        <x:v>시험</x:v>
      </x:c>
      <x:c r="K46" s="6" t="str">
        <x:v>DES-005</x:v>
      </x:c>
      <x:c r="L46" s="6" t="str">
        <x:v>TC-041</x:v>
      </x:c>
      <x:c r="M46" s="6" t="str">
        <x:v>DEL-006
DEL-014
DEL-017
DEL-018
DEL-021</x:v>
      </x:c>
      <x:c r="N46" s="6" t="str">
        <x:v>TL 제공 API 명세서
발행 저장·공개 API 구현물
요구사항별 시험 명세서
기능·표준 적합성 시험 결과서
설치·운영·인계 지침서</x:v>
      </x:c>
      <x:c r="O46" s="6" t="str">
        <x:v>제공 실패 응답의 입력·처리·실패 조건을 설계에 명시.
구현 위치를 연결하고 TC-041 실제 결과·로그로 인수 기준 충족을 입증.</x:v>
      </x:c>
      <x:c r="P46" s="6" t="str">
        <x:v>해당 범위 채택 시 제출</x:v>
      </x:c>
      <x:c r="Q46" s="12" t="str"/>
      <x:c r="R46" s="6" t="str">
        <x:v>FR</x:v>
      </x:c>
    </x:row>
    <x:row r="47" ht="87" customHeight="1">
      <x:c r="A47" s="11" t="str">
        <x:v>FR-042</x:v>
      </x:c>
      <x:c r="B47" s="11" t="str">
        <x:v>제공·조회</x:v>
      </x:c>
      <x:c r="C47" s="11" t="str">
        <x:v>의미 오류본 전송</x:v>
      </x:c>
      <x:c r="D47" s="11" t="str">
        <x:v>PoC가 선택한 의미 오류 TRIAL도 파일 전송 성공 시 200으로 제공해야 한다.</x:v>
      </x:c>
      <x:c r="E47" s="11" t="str">
        <x:v>POL-01 오류 발행 결정; LEG-조회 §5</x:v>
      </x:c>
      <x:c r="F47" s="11" t="str">
        <x:v>PoC</x:v>
      </x:c>
      <x:c r="G47" s="11" t="str">
        <x:v>필수</x:v>
      </x:c>
      <x:c r="H47" s="11" t="str">
        <x:v>초안</x:v>
      </x:c>
      <x:c r="I47" s="11" t="str">
        <x:v>유효한 파일은 200으로 제공하되 응답에 trusted=true 등 수용 판정을 붙이지 않는다.</x:v>
      </x:c>
      <x:c r="J47" s="11" t="str">
        <x:v>시험</x:v>
      </x:c>
      <x:c r="K47" s="11" t="str">
        <x:v>DES-005</x:v>
      </x:c>
      <x:c r="L47" s="11" t="str">
        <x:v>TC-042</x:v>
      </x:c>
      <x:c r="M47" s="11" t="str">
        <x:v>DEL-006
DEL-014
DEL-017
DEL-018
DEL-021</x:v>
      </x:c>
      <x:c r="N47" s="11" t="str">
        <x:v>TL 제공 API 명세서
발행 저장·공개 API 구현물
요구사항별 시험 명세서
기능·표준 적합성 시험 결과서
설치·운영·인계 지침서</x:v>
      </x:c>
      <x:c r="O47" s="11" t="str">
        <x:v>의미 오류본 전송의 입력·처리·실패 조건을 설계에 명시.
구현 위치를 연결하고 TC-042 실제 결과·로그로 인수 기준 충족을 입증.</x:v>
      </x:c>
      <x:c r="P47" s="11" t="str">
        <x:v>해당 범위 채택 시 제출</x:v>
      </x:c>
      <x:c r="Q47" s="12" t="str"/>
      <x:c r="R47" s="11" t="str">
        <x:v>FR</x:v>
      </x:c>
    </x:row>
    <x:row r="48" ht="87" customHeight="1">
      <x:c r="A48" s="6" t="str">
        <x:v>FR-043</x:v>
      </x:c>
      <x:c r="B48" s="6" t="str">
        <x:v>제공·조회</x:v>
      </x:c>
      <x:c r="C48" s="6" t="str">
        <x:v>조회 부수 효과 금지</x:v>
      </x:c>
      <x:c r="D48" s="6" t="str">
        <x:v>공개 조회는 초안·서명·제공 포인터를 변경하지 않아야 한다.</x:v>
      </x:c>
      <x:c r="E48" s="6" t="str">
        <x:v>STD-07 §9.2.1; LEG-조회 §3</x:v>
      </x:c>
      <x:c r="F48" s="6" t="str">
        <x:v>공통</x:v>
      </x:c>
      <x:c r="G48" s="6" t="str">
        <x:v>필수</x:v>
      </x:c>
      <x:c r="H48" s="6" t="str">
        <x:v>초안</x:v>
      </x:c>
      <x:c r="I48" s="6" t="str">
        <x:v>조회 전후 상태 파일·발행본 해시가 같고 발행·서명 횟수가 증가하지 않는다.</x:v>
      </x:c>
      <x:c r="J48" s="6" t="str">
        <x:v>시험</x:v>
      </x:c>
      <x:c r="K48" s="6" t="str">
        <x:v>DES-005</x:v>
      </x:c>
      <x:c r="L48" s="6" t="str">
        <x:v>TC-043</x:v>
      </x:c>
      <x:c r="M48" s="6" t="str">
        <x:v>DEL-006
DEL-014
DEL-017
DEL-018
DEL-021</x:v>
      </x:c>
      <x:c r="N48" s="6" t="str">
        <x:v>TL 제공 API 명세서
발행 저장·공개 API 구현물
요구사항별 시험 명세서
기능·표준 적합성 시험 결과서
설치·운영·인계 지침서</x:v>
      </x:c>
      <x:c r="O48" s="6" t="str">
        <x:v>조회 부수 효과 금지의 입력·처리·실패 조건을 설계에 명시.
구현 위치를 연결하고 TC-043 실제 결과·로그로 인수 기준 충족을 입증.</x:v>
      </x:c>
      <x:c r="P48" s="6" t="str">
        <x:v>해당 범위 채택 시 제출</x:v>
      </x:c>
      <x:c r="Q48" s="12" t="str"/>
      <x:c r="R48" s="6" t="str">
        <x:v>FR</x:v>
      </x:c>
    </x:row>
    <x:row r="49" ht="87" customHeight="1">
      <x:c r="A49" s="11" t="str">
        <x:v>FR-044</x:v>
      </x:c>
      <x:c r="B49" s="11" t="str">
        <x:v>화면·인계</x:v>
      </x:c>
      <x:c r="C49" s="11" t="str">
        <x:v>생성과 신뢰 판정 구분</x:v>
      </x:c>
      <x:c r="D49" s="11" t="str">
        <x:v>화면은 생성 성공·자체 서명 확인·현재 제공본·외부 검증 결과를 구분해야 한다.</x:v>
      </x:c>
      <x:c r="E49" s="11" t="str">
        <x:v>LEG-적용 화면 표시 계약</x:v>
      </x:c>
      <x:c r="F49" s="11" t="str">
        <x:v>PoC</x:v>
      </x:c>
      <x:c r="G49" s="11" t="str">
        <x:v>필수</x:v>
      </x:c>
      <x:c r="H49" s="11" t="str">
        <x:v>초안</x:v>
      </x:c>
      <x:c r="I49" s="11" t="str">
        <x:v>외부 결과가 없으면 미확인으로 표시하고 생성 성공을 전체 신뢰 통과로 표시하지 않는다.</x:v>
      </x:c>
      <x:c r="J49" s="11" t="str">
        <x:v>시험</x:v>
      </x:c>
      <x:c r="K49" s="11" t="str">
        <x:v>DES-006</x:v>
      </x:c>
      <x:c r="L49" s="11" t="str">
        <x:v>TC-044</x:v>
      </x:c>
      <x:c r="M49" s="11" t="str">
        <x:v>DEL-007
DEL-012
DEL-017
DEL-018
DEL-021</x:v>
      </x:c>
      <x:c r="N49" s="11" t="str">
        <x:v>관리 화면·업무 명세서
관리 기능 구현물
요구사항별 시험 명세서
기능·표준 적합성 시험 결과서
설치·운영·인계 지침서</x:v>
      </x:c>
      <x:c r="O49" s="11" t="str">
        <x:v>생성과 신뢰 판정 구분의 입력·처리·실패 조건을 설계에 명시.
구현 위치를 연결하고 TC-044 실제 결과·로그로 인수 기준 충족을 입증.</x:v>
      </x:c>
      <x:c r="P49" s="11" t="str">
        <x:v>해당 범위 채택 시 제출</x:v>
      </x:c>
      <x:c r="Q49" s="12" t="str"/>
      <x:c r="R49" s="11" t="str">
        <x:v>FR</x:v>
      </x:c>
    </x:row>
    <x:row r="50" ht="87" customHeight="1">
      <x:c r="A50" s="6" t="str">
        <x:v>FR-045</x:v>
      </x:c>
      <x:c r="B50" s="6" t="str">
        <x:v>화면·인계</x:v>
      </x:c>
      <x:c r="C50" s="6" t="str">
        <x:v>미구현 업무 표시</x:v>
      </x:c>
      <x:c r="D50" s="6" t="str">
        <x:v>PoC 접수·심사·보완·반려 메뉴는 범위 제외임을 표시해야 한다.</x:v>
      </x:c>
      <x:c r="E50" s="6" t="str">
        <x:v>POL-01 D-03</x:v>
      </x:c>
      <x:c r="F50" s="6" t="str">
        <x:v>PoC</x:v>
      </x:c>
      <x:c r="G50" s="6" t="str">
        <x:v>필수</x:v>
      </x:c>
      <x:c r="H50" s="6" t="str">
        <x:v>초안</x:v>
      </x:c>
      <x:c r="I50" s="6" t="str">
        <x:v>메뉴가 실제 업무 완료나 심사 승인으로 표시되지 않는다.</x:v>
      </x:c>
      <x:c r="J50" s="6" t="str">
        <x:v>시험</x:v>
      </x:c>
      <x:c r="K50" s="6" t="str">
        <x:v>DES-006</x:v>
      </x:c>
      <x:c r="L50" s="6" t="str">
        <x:v>TC-045</x:v>
      </x:c>
      <x:c r="M50" s="6" t="str">
        <x:v>DEL-007
DEL-012
DEL-017
DEL-018
DEL-021</x:v>
      </x:c>
      <x:c r="N50" s="6" t="str">
        <x:v>관리 화면·업무 명세서
관리 기능 구현물
요구사항별 시험 명세서
기능·표준 적합성 시험 결과서
설치·운영·인계 지침서</x:v>
      </x:c>
      <x:c r="O50" s="6" t="str">
        <x:v>미구현 업무 표시의 입력·처리·실패 조건을 설계에 명시.
구현 위치를 연결하고 TC-045 실제 결과·로그로 인수 기준 충족을 입증.</x:v>
      </x:c>
      <x:c r="P50" s="6" t="str">
        <x:v>해당 범위 채택 시 제출</x:v>
      </x:c>
      <x:c r="Q50" s="12" t="str"/>
      <x:c r="R50" s="6" t="str">
        <x:v>FR</x:v>
      </x:c>
    </x:row>
    <x:row r="51" ht="87" customHeight="1">
      <x:c r="A51" s="11" t="str">
        <x:v>FR-046</x:v>
      </x:c>
      <x:c r="B51" s="11" t="str">
        <x:v>화면·인계</x:v>
      </x:c>
      <x:c r="C51" s="11" t="str">
        <x:v>만료 알림 근거</x:v>
      </x:c>
      <x:c r="D51" s="11" t="str">
        <x:v>TL 갱신 기한과 TL 서명·서비스 인증서의 만료를 구분하여 표시해야 한다.</x:v>
      </x:c>
      <x:c r="E51" s="11" t="str">
        <x:v>LEG-적용 화면 표시 계약</x:v>
      </x:c>
      <x:c r="F51" s="11" t="str">
        <x:v>PoC</x:v>
      </x:c>
      <x:c r="G51" s="11" t="str">
        <x:v>필수</x:v>
      </x:c>
      <x:c r="H51" s="11" t="str">
        <x:v>초안</x:v>
      </x:c>
      <x:c r="I51" s="11" t="str">
        <x:v>표시된 기한이 해당 저장 필드와 같고 서로 다른 만료 종류를 혼동하지 않는다.</x:v>
      </x:c>
      <x:c r="J51" s="11" t="str">
        <x:v>시험</x:v>
      </x:c>
      <x:c r="K51" s="11" t="str">
        <x:v>DES-006</x:v>
      </x:c>
      <x:c r="L51" s="11" t="str">
        <x:v>TC-046</x:v>
      </x:c>
      <x:c r="M51" s="11" t="str">
        <x:v>DEL-007
DEL-012
DEL-017
DEL-018
DEL-021</x:v>
      </x:c>
      <x:c r="N51" s="11" t="str">
        <x:v>관리 화면·업무 명세서
관리 기능 구현물
요구사항별 시험 명세서
기능·표준 적합성 시험 결과서
설치·운영·인계 지침서</x:v>
      </x:c>
      <x:c r="O51" s="11" t="str">
        <x:v>만료 알림 근거의 입력·처리·실패 조건을 설계에 명시.
구현 위치를 연결하고 TC-046 실제 결과·로그로 인수 기준 충족을 입증.</x:v>
      </x:c>
      <x:c r="P51" s="11" t="str">
        <x:v>해당 범위 채택 시 제출</x:v>
      </x:c>
      <x:c r="Q51" s="12" t="str"/>
      <x:c r="R51" s="11" t="str">
        <x:v>FR</x:v>
      </x:c>
    </x:row>
    <x:row r="52" ht="87" customHeight="1">
      <x:c r="A52" s="6" t="str">
        <x:v>FR-047</x:v>
      </x:c>
      <x:c r="B52" s="6" t="str">
        <x:v>외부 검증</x:v>
      </x:c>
      <x:c r="C52" s="6" t="str">
        <x:v>거부본과 수용본 분리</x:v>
      </x:c>
      <x:c r="D52" s="6" t="str">
        <x:v>소비자는 후보 TL의 검증 실패 시 기존 유효 수용본을 유지해야 한다.</x:v>
      </x:c>
      <x:c r="E52" s="6" t="str">
        <x:v>LEG-조회 §6; LEG-모델 §7; STD-02 참고</x:v>
      </x:c>
      <x:c r="F52" s="6" t="str">
        <x:v>외부 소비자</x:v>
      </x:c>
      <x:c r="G52" s="6" t="str">
        <x:v>필수</x:v>
      </x:c>
      <x:c r="H52" s="6" t="str">
        <x:v>초안</x:v>
      </x:c>
      <x:c r="I52" s="6" t="str">
        <x:v>오류 후보 수신으로 수용 순번·캐시가 바뀌지 않고 기존본도 만료되면 유효 TL 없음으로 처리한다.</x:v>
      </x:c>
      <x:c r="J52" s="6" t="str">
        <x:v>시험</x:v>
      </x:c>
      <x:c r="K52" s="6" t="str">
        <x:v>DES-007</x:v>
      </x:c>
      <x:c r="L52" s="6" t="str">
        <x:v>TC-047</x:v>
      </x:c>
      <x:c r="M52" s="6" t="str">
        <x:v>DEL-008
DEL-015
DEL-017
DEL-018
DEL-021</x:v>
      </x:c>
      <x:c r="N52" s="6" t="str">
        <x:v>외부 소비자 신뢰검증 명세
소비자 검증 연계 샘플
요구사항별 시험 명세서
기능·표준 적합성 시험 결과서
설치·운영·인계 지침서</x:v>
      </x:c>
      <x:c r="O52" s="6" t="str">
        <x:v>거부본과 수용본 분리의 입력·처리·실패 조건을 설계에 명시.
구현 위치를 연결하고 TC-047 실제 결과·로그로 인수 기준 충족을 입증.</x:v>
      </x:c>
      <x:c r="P52" s="6" t="str">
        <x:v>외부 소비자 연계 인수</x:v>
      </x:c>
      <x:c r="Q52" s="12" t="str"/>
      <x:c r="R52" s="6" t="str">
        <x:v>FR</x:v>
      </x:c>
    </x:row>
    <x:row r="53" ht="87" customHeight="1">
      <x:c r="A53" s="11" t="str">
        <x:v>FR-048</x:v>
      </x:c>
      <x:c r="B53" s="11" t="str">
        <x:v>외부 검증</x:v>
      </x:c>
      <x:c r="C53" s="11" t="str">
        <x:v>사용 근거 기록</x:v>
      </x:c>
      <x:c r="D53" s="11" t="str">
        <x:v>소비자는 판정에 사용한 TL 순번·대상 서비스·시각과 판정 사유를 식별 가능하게 반환해야 한다.</x:v>
      </x:c>
      <x:c r="E53" s="11" t="str">
        <x:v>LEG-모델 §7; LEG-판정 §1</x:v>
      </x:c>
      <x:c r="F53" s="11" t="str">
        <x:v>외부 소비자</x:v>
      </x:c>
      <x:c r="G53" s="11" t="str">
        <x:v>필수</x:v>
      </x:c>
      <x:c r="H53" s="11" t="str">
        <x:v>초안</x:v>
      </x:c>
      <x:c r="I53" s="11" t="str">
        <x:v>동일 서명에 다른 TL을 적용한 결과에서 사용 순번과 대상 구간을 구분할 수 있다.</x:v>
      </x:c>
      <x:c r="J53" s="11" t="str">
        <x:v>시험</x:v>
      </x:c>
      <x:c r="K53" s="11" t="str">
        <x:v>DES-007</x:v>
      </x:c>
      <x:c r="L53" s="11" t="str">
        <x:v>TC-048</x:v>
      </x:c>
      <x:c r="M53" s="11" t="str">
        <x:v>DEL-008
DEL-015
DEL-017
DEL-018
DEL-021</x:v>
      </x:c>
      <x:c r="N53" s="11" t="str">
        <x:v>외부 소비자 신뢰검증 명세
소비자 검증 연계 샘플
요구사항별 시험 명세서
기능·표준 적합성 시험 결과서
설치·운영·인계 지침서</x:v>
      </x:c>
      <x:c r="O53" s="11" t="str">
        <x:v>사용 근거 기록의 입력·처리·실패 조건을 설계에 명시.
구현 위치를 연결하고 TC-048 실제 결과·로그로 인수 기준 충족을 입증.</x:v>
      </x:c>
      <x:c r="P53" s="11" t="str">
        <x:v>외부 소비자 연계 인수</x:v>
      </x:c>
      <x:c r="Q53" s="12" t="str"/>
      <x:c r="R53" s="11" t="str">
        <x:v>FR</x:v>
      </x:c>
    </x:row>
    <x:row r="54" ht="87" customHeight="1">
      <x:c r="A54" s="6" t="str">
        <x:v>FR-049</x:v>
      </x:c>
      <x:c r="B54" s="6" t="str">
        <x:v>운영 목표</x:v>
      </x:c>
      <x:c r="C54" s="6" t="str">
        <x:v>신청 정보 분리</x:v>
      </x:c>
      <x:c r="D54" s="6" t="str">
        <x:v>운영 시스템은 사업자 제출정보를 심사 확정 전 신청 정보로 관리해야 한다.</x:v>
      </x:c>
      <x:c r="E54" s="6" t="str">
        <x:v>LEG-개념 §4.2.1; CTX-01 배경</x:v>
      </x:c>
      <x:c r="F54" s="6" t="str">
        <x:v>운영 보류</x:v>
      </x:c>
      <x:c r="G54" s="6" t="str">
        <x:v>필수</x:v>
      </x:c>
      <x:c r="H54" s="6" t="str">
        <x:v>보류</x:v>
      </x:c>
      <x:c r="I54" s="6" t="str">
        <x:v>신청 변경이 확정 등재정보를 바로 바꾸지 않고 상태 전이는 OQ-003의 승인된 절차와 일치한다.</x:v>
      </x:c>
      <x:c r="J54" s="6" t="str">
        <x:v>검토</x:v>
      </x:c>
      <x:c r="K54" s="6" t="str">
        <x:v>DES-008</x:v>
      </x:c>
      <x:c r="L54" s="6" t="str">
        <x:v>TC-049</x:v>
      </x:c>
      <x:c r="M54" s="6" t="str">
        <x:v>DEL-009
DEL-016
DEL-017
DEL-018
DEL-021</x:v>
      </x:c>
      <x:c r="N54" s="6" t="str">
        <x:v>운영 업무·연계 정책서
운영 확장 구현·배포 패키지
요구사항별 시험 명세서
기능·표준 적합성 시험 결과서
설치·운영·인계 지침서</x:v>
      </x:c>
      <x:c r="O54" s="6" t="str">
        <x:v>신청 정보 분리의 입력·처리·실패 조건을 설계에 명시.
구현 위치를 연결하고 TC-049 실제 결과·로그로 인수 기준 충족을 입증.</x:v>
      </x:c>
      <x:c r="P54" s="6" t="str">
        <x:v>범위 확정 후 제출</x:v>
      </x:c>
      <x:c r="Q54" s="12" t="str"/>
      <x:c r="R54" s="6" t="str">
        <x:v>FR</x:v>
      </x:c>
    </x:row>
    <x:row r="55" ht="87" customHeight="1">
      <x:c r="A55" s="11" t="str">
        <x:v>FR-050</x:v>
      </x:c>
      <x:c r="B55" s="11" t="str">
        <x:v>운영 목표</x:v>
      </x:c>
      <x:c r="C55" s="11" t="str">
        <x:v>심사 결과 반영</x:v>
      </x:c>
      <x:c r="D55" s="11" t="str">
        <x:v>운영 시스템은 심사 확정 결과를 등재정보 변경으로 연결해야 한다.</x:v>
      </x:c>
      <x:c r="E55" s="11" t="str">
        <x:v>LEG-개념 §2.2.2·4.2.1</x:v>
      </x:c>
      <x:c r="F55" s="11" t="str">
        <x:v>운영 보류</x:v>
      </x:c>
      <x:c r="G55" s="11" t="str">
        <x:v>필수</x:v>
      </x:c>
      <x:c r="H55" s="11" t="str">
        <x:v>보류</x:v>
      </x:c>
      <x:c r="I55" s="11" t="str">
        <x:v>반려·보완 요청은 등재 변경을 발생시키지 않고 확정 결과만 반영된다.</x:v>
      </x:c>
      <x:c r="J55" s="11" t="str">
        <x:v>검토</x:v>
      </x:c>
      <x:c r="K55" s="11" t="str">
        <x:v>DES-008</x:v>
      </x:c>
      <x:c r="L55" s="11" t="str">
        <x:v>TC-050</x:v>
      </x:c>
      <x:c r="M55" s="11" t="str">
        <x:v>DEL-009
DEL-016
DEL-017
DEL-018
DEL-021</x:v>
      </x:c>
      <x:c r="N55" s="11" t="str">
        <x:v>운영 업무·연계 정책서
운영 확장 구현·배포 패키지
요구사항별 시험 명세서
기능·표준 적합성 시험 결과서
설치·운영·인계 지침서</x:v>
      </x:c>
      <x:c r="O55" s="11" t="str">
        <x:v>심사 결과 반영의 입력·처리·실패 조건을 설계에 명시.
구현 위치를 연결하고 TC-050 실제 결과·로그로 인수 기준 충족을 입증.</x:v>
      </x:c>
      <x:c r="P55" s="11" t="str">
        <x:v>범위 확정 후 제출</x:v>
      </x:c>
      <x:c r="Q55" s="12" t="str"/>
      <x:c r="R55" s="11" t="str">
        <x:v>FR</x:v>
      </x:c>
    </x:row>
    <x:row r="56" ht="87" customHeight="1">
      <x:c r="A56" s="6" t="str">
        <x:v>FR-051</x:v>
      </x:c>
      <x:c r="B56" s="6" t="str">
        <x:v>운영 목표</x:v>
      </x:c>
      <x:c r="C56" s="6" t="str">
        <x:v>갱신 기한 내 재발행</x:v>
      </x:c>
      <x:c r="D56" s="6" t="str">
        <x:v>운영 시스템은 변경이 없어도 NextUpdate까지 새 TL을 발행·제공해야 한다.</x:v>
      </x:c>
      <x:c r="E56" s="6" t="str">
        <x:v>LEG-개념 §4.2.3; STD-01 §5.3.15</x:v>
      </x:c>
      <x:c r="F56" s="6" t="str">
        <x:v>운영 보류</x:v>
      </x:c>
      <x:c r="G56" s="6" t="str">
        <x:v>필수</x:v>
      </x:c>
      <x:c r="H56" s="6" t="str">
        <x:v>보류</x:v>
      </x:c>
      <x:c r="I56" s="6" t="str">
        <x:v>OQ-006에서 정한 실행 주기·장애 조건하에 갱신 기한 이전 새 발행본이 제공된다.</x:v>
      </x:c>
      <x:c r="J56" s="6" t="str">
        <x:v>검토</x:v>
      </x:c>
      <x:c r="K56" s="6" t="str">
        <x:v>DES-008</x:v>
      </x:c>
      <x:c r="L56" s="6" t="str">
        <x:v>TC-051</x:v>
      </x:c>
      <x:c r="M56" s="6" t="str">
        <x:v>DEL-009
DEL-016
DEL-017
DEL-018
DEL-021</x:v>
      </x:c>
      <x:c r="N56" s="6" t="str">
        <x:v>운영 업무·연계 정책서
운영 확장 구현·배포 패키지
요구사항별 시험 명세서
기능·표준 적합성 시험 결과서
설치·운영·인계 지침서</x:v>
      </x:c>
      <x:c r="O56" s="6" t="str">
        <x:v>갱신 기한 내 재발행의 입력·처리·실패 조건을 설계에 명시.
구현 위치를 연결하고 TC-051 실제 결과·로그로 인수 기준 충족을 입증.</x:v>
      </x:c>
      <x:c r="P56" s="6" t="str">
        <x:v>범위 확정 후 제출</x:v>
      </x:c>
      <x:c r="Q56" s="12" t="str"/>
      <x:c r="R56" s="6" t="str">
        <x:v>FR</x:v>
      </x:c>
    </x:row>
    <x:row r="57" ht="87" customHeight="1">
      <x:c r="A57" s="11" t="str">
        <x:v>FR-052</x:v>
      </x:c>
      <x:c r="B57" s="11" t="str">
        <x:v>운영 목표</x:v>
      </x:c>
      <x:c r="C57" s="11" t="str">
        <x:v>사업자 정보 수집 정책</x:v>
      </x:c>
      <x:c r="D57" s="11" t="str">
        <x:v>자동 수집 또는 사업자 제출을 통한 수집의 범위와 책임을 정의해야 한다.</x:v>
      </x:c>
      <x:c r="E57" s="11" t="str">
        <x:v>BIZ-01 과업2; LEG-요구 §3</x:v>
      </x:c>
      <x:c r="F57" s="11" t="str">
        <x:v>운영 보류</x:v>
      </x:c>
      <x:c r="G57" s="11" t="str">
        <x:v>필수</x:v>
      </x:c>
      <x:c r="H57" s="11" t="str">
        <x:v>보류</x:v>
      </x:c>
      <x:c r="I57" s="11" t="str">
        <x:v>발주기관과 합의한 수집 대상·방향·실패 처리·주기가 OQ-002에 기록되고 해당 인터페이스로 검증된다.</x:v>
      </x:c>
      <x:c r="J57" s="11" t="str">
        <x:v>검토</x:v>
      </x:c>
      <x:c r="K57" s="11" t="str">
        <x:v>DES-008</x:v>
      </x:c>
      <x:c r="L57" s="11" t="str">
        <x:v>TC-052</x:v>
      </x:c>
      <x:c r="M57" s="11" t="str">
        <x:v>DEL-009
DEL-016
DEL-017
DEL-018
DEL-021</x:v>
      </x:c>
      <x:c r="N57" s="11" t="str">
        <x:v>운영 업무·연계 정책서
운영 확장 구현·배포 패키지
요구사항별 시험 명세서
기능·표준 적합성 시험 결과서
설치·운영·인계 지침서</x:v>
      </x:c>
      <x:c r="O57" s="11" t="str">
        <x:v>사업자 정보 수집 정책의 입력·처리·실패 조건을 설계에 명시.
구현 위치를 연결하고 TC-052 실제 결과·로그로 인수 기준 충족을 입증.</x:v>
      </x:c>
      <x:c r="P57" s="11" t="str">
        <x:v>범위 확정 후 제출</x:v>
      </x:c>
      <x:c r="Q57" s="12" t="str"/>
      <x:c r="R57" s="11" t="str">
        <x:v>FR</x:v>
      </x:c>
    </x:row>
    <x:row r="58" ht="87" customHeight="1">
      <x:c r="A58" s="6" t="str">
        <x:v>FR-053</x:v>
      </x:c>
      <x:c r="B58" s="6" t="str">
        <x:v>운영 목표</x:v>
      </x:c>
      <x:c r="C58" s="6" t="str">
        <x:v>HSM 서명 연계</x:v>
      </x:c>
      <x:c r="D58" s="6" t="str">
        <x:v>운영 HSM 서명은 확정한 키 식별·알고리즘·오류 계약을 따라야 한다.</x:v>
      </x:c>
      <x:c r="E58" s="6" t="str">
        <x:v>LEG-개념 §4.2.2; POL-01 D-02로 PoC 제외</x:v>
      </x:c>
      <x:c r="F58" s="6" t="str">
        <x:v>운영 보류</x:v>
      </x:c>
      <x:c r="G58" s="6" t="str">
        <x:v>필수</x:v>
      </x:c>
      <x:c r="H58" s="6" t="str">
        <x:v>보류</x:v>
      </x:c>
      <x:c r="I58" s="6" t="str">
        <x:v>OQ-003에서 정한 서명 계약에 따라 정상 서명과 키 접근 실패가 구분되고 실패 시 확정되지 않는다.</x:v>
      </x:c>
      <x:c r="J58" s="6" t="str">
        <x:v>검토</x:v>
      </x:c>
      <x:c r="K58" s="6" t="str">
        <x:v>DES-008</x:v>
      </x:c>
      <x:c r="L58" s="6" t="str">
        <x:v>TC-053</x:v>
      </x:c>
      <x:c r="M58" s="6" t="str">
        <x:v>DEL-010
DEL-016
DEL-017
DEL-018
DEL-021</x:v>
      </x:c>
      <x:c r="N58" s="6" t="str">
        <x:v>보안 아키텍처·통제 설계서
운영 확장 구현·배포 패키지
요구사항별 시험 명세서
기능·표준 적합성 시험 결과서
설치·운영·인계 지침서</x:v>
      </x:c>
      <x:c r="O58" s="6" t="str">
        <x:v>HSM 서명 연계의 입력·처리·실패 조건을 설계에 명시.
구현 위치를 연결하고 TC-053 실제 결과·로그로 인수 기준 충족을 입증.</x:v>
      </x:c>
      <x:c r="P58" s="6" t="str">
        <x:v>범위 확정 후 제출</x:v>
      </x:c>
      <x:c r="Q58" s="12" t="str"/>
      <x:c r="R58" s="6" t="str">
        <x:v>FR</x:v>
      </x:c>
    </x:row>
    <x:row r="59" ht="87" customHeight="1">
      <x:c r="A59" s="11" t="str">
        <x:v>FR-054</x:v>
      </x:c>
      <x:c r="B59" s="11" t="str">
        <x:v>운영 목표</x:v>
      </x:c>
      <x:c r="C59" s="11" t="str">
        <x:v>관리·배포 구간 분리</x:v>
      </x:c>
      <x:c r="D59" s="11" t="str">
        <x:v>별도 배포 시스템 적용 시 같은 서명 바이트의 재전송으로 게시를 복구해야 한다.</x:v>
      </x:c>
      <x:c r="E59" s="11" t="str">
        <x:v>LEG-개념 §2.3·4.4; POL-01 D-05</x:v>
      </x:c>
      <x:c r="F59" s="11" t="str">
        <x:v>운영 보류</x:v>
      </x:c>
      <x:c r="G59" s="11" t="str">
        <x:v>필수</x:v>
      </x:c>
      <x:c r="H59" s="11" t="str">
        <x:v>보류</x:v>
      </x:c>
      <x:c r="I59" s="11" t="str">
        <x:v>재전송으로 순번·XML·서명이 바뀌지 않고 게시 전환 실패 시 이전 제공본을 유지한다.</x:v>
      </x:c>
      <x:c r="J59" s="11" t="str">
        <x:v>검토</x:v>
      </x:c>
      <x:c r="K59" s="11" t="str">
        <x:v>DES-008</x:v>
      </x:c>
      <x:c r="L59" s="11" t="str">
        <x:v>TC-054</x:v>
      </x:c>
      <x:c r="M59" s="11" t="str">
        <x:v>DEL-010
DEL-016
DEL-017
DEL-018
DEL-021</x:v>
      </x:c>
      <x:c r="N59" s="11" t="str">
        <x:v>보안 아키텍처·통제 설계서
운영 확장 구현·배포 패키지
요구사항별 시험 명세서
기능·표준 적합성 시험 결과서
설치·운영·인계 지침서</x:v>
      </x:c>
      <x:c r="O59" s="11" t="str">
        <x:v>관리·배포 구간 분리의 입력·처리·실패 조건을 설계에 명시.
구현 위치를 연결하고 TC-054 실제 결과·로그로 인수 기준 충족을 입증.</x:v>
      </x:c>
      <x:c r="P59" s="11" t="str">
        <x:v>범위 확정 후 제출</x:v>
      </x:c>
      <x:c r="Q59" s="12" t="str"/>
      <x:c r="R59" s="11" t="str">
        <x:v>FR</x:v>
      </x:c>
    </x:row>
    <x:row r="60" ht="87" customHeight="1">
      <x:c r="A60" s="6" t="str">
        <x:v>SR-001</x:v>
      </x:c>
      <x:c r="B60" s="6" t="str">
        <x:v>보안</x:v>
      </x:c>
      <x:c r="C60" s="6" t="str">
        <x:v>TL 전자서명</x:v>
      </x:c>
      <x:c r="D60" s="6" t="str">
        <x:v>발행기는 TL 전체를 대상으로 채택한 XAdES enveloped 서명을 생성해야 한다.</x:v>
      </x:c>
      <x:c r="E60" s="6" t="str">
        <x:v>STD-01 §5.7·B.1.0·B.1.1; STD-03; STD-04</x:v>
      </x:c>
      <x:c r="F60" s="6" t="str">
        <x:v>공통</x:v>
      </x:c>
      <x:c r="G60" s="6" t="str">
        <x:v>필수</x:v>
      </x:c>
      <x:c r="H60" s="6" t="str">
        <x:v>초안</x:v>
      </x:c>
      <x:c r="I60" s="6" t="str">
        <x:v>루트 참조와 enveloped→exclusive C14N 변환이 존재하고 서명값·참조 다이제스트가 검증된다.</x:v>
      </x:c>
      <x:c r="J60" s="6" t="str">
        <x:v>시험, 검토</x:v>
      </x:c>
      <x:c r="K60" s="6" t="str">
        <x:v>DES-009</x:v>
      </x:c>
      <x:c r="L60" s="6" t="str">
        <x:v>TC-055</x:v>
      </x:c>
      <x:c r="M60" s="6" t="str">
        <x:v>DEL-010
DEL-013
DEL-017
DEL-019
DEL-021</x:v>
      </x:c>
      <x:c r="N60" s="6" t="str">
        <x:v>보안 아키텍처·통제 설계서
TL 생성·서명 구현물
요구사항별 시험 명세서
보안 시험 결과서
설치·운영·인계 지침서</x:v>
      </x:c>
      <x:c r="O60" s="6" t="str">
        <x:v>TL 전자서명의 입력·처리·실패 조건을 설계에 명시.
구현 위치를 연결하고 TC-055 실제 결과·로그로 인수 기준 충족을 입증.</x:v>
      </x:c>
      <x:c r="P60" s="6" t="str">
        <x:v>해당 범위 채택 시 제출</x:v>
      </x:c>
      <x:c r="Q60" s="12" t="str"/>
      <x:c r="R60" s="6" t="str">
        <x:v>SR</x:v>
      </x:c>
    </x:row>
    <x:row r="61" ht="87" customHeight="1">
      <x:c r="A61" s="11" t="str">
        <x:v>SR-002</x:v>
      </x:c>
      <x:c r="B61" s="11" t="str">
        <x:v>보안</x:v>
      </x:c>
      <x:c r="C61" s="11" t="str">
        <x:v>서명 실패 미확정</x:v>
      </x:c>
      <x:c r="D61" s="11" t="str">
        <x:v>키 읽기·서명·자체 서명 확인 실패 시 발행을 확정하지 않아야 한다.</x:v>
      </x:c>
      <x:c r="E61" s="11" t="str">
        <x:v>LEG-복구 확정 절차·장애 처리</x:v>
      </x:c>
      <x:c r="F61" s="11" t="str">
        <x:v>공통</x:v>
      </x:c>
      <x:c r="G61" s="11" t="str">
        <x:v>필수</x:v>
      </x:c>
      <x:c r="H61" s="11" t="str">
        <x:v>초안</x:v>
      </x:c>
      <x:c r="I61" s="11" t="str">
        <x:v>각 실패가 구분되어 반환되고 확정 목록·정상 기준·제공본은 이전 값이다.</x:v>
      </x:c>
      <x:c r="J61" s="11" t="str">
        <x:v>시험, 검토</x:v>
      </x:c>
      <x:c r="K61" s="11" t="str">
        <x:v>DES-009</x:v>
      </x:c>
      <x:c r="L61" s="11" t="str">
        <x:v>TC-056</x:v>
      </x:c>
      <x:c r="M61" s="11" t="str">
        <x:v>DEL-010
DEL-013
DEL-017
DEL-019
DEL-021</x:v>
      </x:c>
      <x:c r="N61" s="11" t="str">
        <x:v>보안 아키텍처·통제 설계서
TL 생성·서명 구현물
요구사항별 시험 명세서
보안 시험 결과서
설치·운영·인계 지침서</x:v>
      </x:c>
      <x:c r="O61" s="11" t="str">
        <x:v>서명 실패 미확정의 입력·처리·실패 조건을 설계에 명시.
구현 위치를 연결하고 TC-056 실제 결과·로그로 인수 기준 충족을 입증.</x:v>
      </x:c>
      <x:c r="P61" s="11" t="str">
        <x:v>해당 범위 채택 시 제출</x:v>
      </x:c>
      <x:c r="Q61" s="12" t="str"/>
      <x:c r="R61" s="11" t="str">
        <x:v>SR</x:v>
      </x:c>
    </x:row>
    <x:row r="62" ht="87" customHeight="1">
      <x:c r="A62" s="6" t="str">
        <x:v>SR-003</x:v>
      </x:c>
      <x:c r="B62" s="6" t="str">
        <x:v>보안</x:v>
      </x:c>
      <x:c r="C62" s="6" t="str">
        <x:v>TRIAL 기준 격리</x:v>
      </x:c>
      <x:c r="D62" s="6" t="str">
        <x:v>TRIAL 발행은 정상 baseline·서비스 이력·정상 권장 순번을 변경하지 않아야 한다.</x:v>
      </x:c>
      <x:c r="E62" s="6" t="str">
        <x:v>LEG-적용 정상값과 시험; LEG-복구 동시성</x:v>
      </x:c>
      <x:c r="F62" s="6" t="str">
        <x:v>PoC</x:v>
      </x:c>
      <x:c r="G62" s="6" t="str">
        <x:v>필수</x:v>
      </x:c>
      <x:c r="H62" s="6" t="str">
        <x:v>초안</x:v>
      </x:c>
      <x:c r="I62" s="6" t="str">
        <x:v>각 정상 기준 값의 발행 전후 비교가 일치한다.</x:v>
      </x:c>
      <x:c r="J62" s="6" t="str">
        <x:v>시험, 검토</x:v>
      </x:c>
      <x:c r="K62" s="6" t="str">
        <x:v>DES-009</x:v>
      </x:c>
      <x:c r="L62" s="6" t="str">
        <x:v>TC-057</x:v>
      </x:c>
      <x:c r="M62" s="6" t="str">
        <x:v>DEL-010
DEL-013
DEL-017
DEL-019
DEL-021</x:v>
      </x:c>
      <x:c r="N62" s="6" t="str">
        <x:v>보안 아키텍처·통제 설계서
TL 생성·서명 구현물
요구사항별 시험 명세서
보안 시험 결과서
설치·운영·인계 지침서</x:v>
      </x:c>
      <x:c r="O62" s="6" t="str">
        <x:v>TRIAL 기준 격리의 입력·처리·실패 조건을 설계에 명시.
구현 위치를 연결하고 TC-057 실제 결과·로그로 인수 기준 충족을 입증.</x:v>
      </x:c>
      <x:c r="P62" s="6" t="str">
        <x:v>해당 범위 채택 시 제출</x:v>
      </x:c>
      <x:c r="Q62" s="12" t="str"/>
      <x:c r="R62" s="6" t="str">
        <x:v>SR</x:v>
      </x:c>
    </x:row>
    <x:row r="63" ht="87" customHeight="1">
      <x:c r="A63" s="11" t="str">
        <x:v>SR-004</x:v>
      </x:c>
      <x:c r="B63" s="11" t="str">
        <x:v>보안</x:v>
      </x:c>
      <x:c r="C63" s="11" t="str">
        <x:v>미지원 critical 확장 거부</x:v>
      </x:c>
      <x:c r="D63" s="11" t="str">
        <x:v>소비자는 해석하지 못하는 critical 확장이 있는 TL을 신뢰 수용하지 않아야 한다.</x:v>
      </x:c>
      <x:c r="E63" s="11" t="str">
        <x:v>STD-01 Annex B; LEG-프로파일 KR 확장</x:v>
      </x:c>
      <x:c r="F63" s="11" t="str">
        <x:v>외부 소비자</x:v>
      </x:c>
      <x:c r="G63" s="11" t="str">
        <x:v>필수</x:v>
      </x:c>
      <x:c r="H63" s="11" t="str">
        <x:v>초안</x:v>
      </x:c>
      <x:c r="I63" s="11" t="str">
        <x:v>미지원 critical 입력은 수용 실패이며 기존 수용본은 유지된다.</x:v>
      </x:c>
      <x:c r="J63" s="11" t="str">
        <x:v>시험, 검토</x:v>
      </x:c>
      <x:c r="K63" s="11" t="str">
        <x:v>DES-009</x:v>
      </x:c>
      <x:c r="L63" s="11" t="str">
        <x:v>TC-058</x:v>
      </x:c>
      <x:c r="M63" s="11" t="str">
        <x:v>DEL-008
DEL-015
DEL-017
DEL-019
DEL-021</x:v>
      </x:c>
      <x:c r="N63" s="11" t="str">
        <x:v>외부 소비자 신뢰검증 명세
소비자 검증 연계 샘플
요구사항별 시험 명세서
보안 시험 결과서
설치·운영·인계 지침서</x:v>
      </x:c>
      <x:c r="O63" s="11" t="str">
        <x:v>미지원 critical 확장 거부의 입력·처리·실패 조건을 설계에 명시.
구현 위치를 연결하고 TC-058 실제 결과·로그로 인수 기준 충족을 입증.</x:v>
      </x:c>
      <x:c r="P63" s="11" t="str">
        <x:v>외부 소비자 연계 인수</x:v>
      </x:c>
      <x:c r="Q63" s="12" t="str"/>
      <x:c r="R63" s="11" t="str">
        <x:v>SR</x:v>
      </x:c>
    </x:row>
    <x:row r="64" ht="87" customHeight="1">
      <x:c r="A64" s="6" t="str">
        <x:v>SR-005</x:v>
      </x:c>
      <x:c r="B64" s="6" t="str">
        <x:v>보안</x:v>
      </x:c>
      <x:c r="C64" s="6" t="str">
        <x:v>미지원 상태 자동 승인 금지</x:v>
      </x:c>
      <x:c r="D64" s="6" t="str">
        <x:v>미지원 상태 URI를 인정 또는 철회로 자동 치환하지 않아야 한다.</x:v>
      </x:c>
      <x:c r="E64" s="6" t="str">
        <x:v>LEG-프로파일 인정 상태</x:v>
      </x:c>
      <x:c r="F64" s="6" t="str">
        <x:v>공통</x:v>
      </x:c>
      <x:c r="G64" s="6" t="str">
        <x:v>필수</x:v>
      </x:c>
      <x:c r="H64" s="6" t="str">
        <x:v>초안</x:v>
      </x:c>
      <x:c r="I64" s="6" t="str">
        <x:v>관리 입력은 오류이고 외부 파싱은 원 URI와 해석 불가 상태를 보존한다.</x:v>
      </x:c>
      <x:c r="J64" s="6" t="str">
        <x:v>시험, 검토</x:v>
      </x:c>
      <x:c r="K64" s="6" t="str">
        <x:v>DES-009</x:v>
      </x:c>
      <x:c r="L64" s="6" t="str">
        <x:v>TC-059</x:v>
      </x:c>
      <x:c r="M64" s="6" t="str">
        <x:v>DEL-010
DEL-015
DEL-017
DEL-019
DEL-021</x:v>
      </x:c>
      <x:c r="N64" s="6" t="str">
        <x:v>보안 아키텍처·통제 설계서
소비자 검증 연계 샘플
요구사항별 시험 명세서
보안 시험 결과서
설치·운영·인계 지침서</x:v>
      </x:c>
      <x:c r="O64" s="6" t="str">
        <x:v>미지원 상태 자동 승인 금지의 입력·처리·실패 조건을 설계에 명시.
구현 위치를 연결하고 TC-059 실제 결과·로그로 인수 기준 충족을 입증.</x:v>
      </x:c>
      <x:c r="P64" s="6" t="str">
        <x:v>해당 범위 채택 시 제출</x:v>
      </x:c>
      <x:c r="Q64" s="12" t="str"/>
      <x:c r="R64" s="6" t="str">
        <x:v>SR</x:v>
      </x:c>
    </x:row>
    <x:row r="65" ht="87" customHeight="1">
      <x:c r="A65" s="11" t="str">
        <x:v>SR-006</x:v>
      </x:c>
      <x:c r="B65" s="11" t="str">
        <x:v>보안</x:v>
      </x:c>
      <x:c r="C65" s="11" t="str">
        <x:v>신뢰앵커 독립 설정</x:v>
      </x:c>
      <x:c r="D65" s="11" t="str">
        <x:v>소비자는 다운로드 TL의 자기 주장만으로 새 신뢰앵커를 등록하지 않아야 한다.</x:v>
      </x:c>
      <x:c r="E65" s="11" t="str">
        <x:v>LEG-조회 §6; STD-06 §6 참고</x:v>
      </x:c>
      <x:c r="F65" s="11" t="str">
        <x:v>외부 소비자</x:v>
      </x:c>
      <x:c r="G65" s="11" t="str">
        <x:v>필수</x:v>
      </x:c>
      <x:c r="H65" s="11" t="str">
        <x:v>초안</x:v>
      </x:c>
      <x:c r="I65" s="11" t="str">
        <x:v>사전 설정 앵커에 연결되지 않는 서명은 채택되지 않는다.</x:v>
      </x:c>
      <x:c r="J65" s="11" t="str">
        <x:v>시험, 검토</x:v>
      </x:c>
      <x:c r="K65" s="11" t="str">
        <x:v>DES-009</x:v>
      </x:c>
      <x:c r="L65" s="11" t="str">
        <x:v>TC-060</x:v>
      </x:c>
      <x:c r="M65" s="11" t="str">
        <x:v>DEL-008
DEL-015
DEL-017
DEL-019
DEL-021</x:v>
      </x:c>
      <x:c r="N65" s="11" t="str">
        <x:v>외부 소비자 신뢰검증 명세
소비자 검증 연계 샘플
요구사항별 시험 명세서
보안 시험 결과서
설치·운영·인계 지침서</x:v>
      </x:c>
      <x:c r="O65" s="11" t="str">
        <x:v>신뢰앵커 독립 설정의 입력·처리·실패 조건을 설계에 명시.
구현 위치를 연결하고 TC-060 실제 결과·로그로 인수 기준 충족을 입증.</x:v>
      </x:c>
      <x:c r="P65" s="11" t="str">
        <x:v>외부 소비자 연계 인수</x:v>
      </x:c>
      <x:c r="Q65" s="12" t="str"/>
      <x:c r="R65" s="11" t="str">
        <x:v>SR</x:v>
      </x:c>
    </x:row>
    <x:row r="66" ht="87" customHeight="1">
      <x:c r="A66" s="6" t="str">
        <x:v>SR-007</x:v>
      </x:c>
      <x:c r="B66" s="6" t="str">
        <x:v>보안</x:v>
      </x:c>
      <x:c r="C66" s="6" t="str">
        <x:v>개인키 비공개</x:v>
      </x:c>
      <x:c r="D66" s="6" t="str">
        <x:v>발행 스냅숏·manifest·공개 응답에 개인키를 포함하지 않아야 한다.</x:v>
      </x:c>
      <x:c r="E66" s="6" t="str">
        <x:v>LEG-복구 저장 배치</x:v>
      </x:c>
      <x:c r="F66" s="6" t="str">
        <x:v>공통</x:v>
      </x:c>
      <x:c r="G66" s="6" t="str">
        <x:v>필수</x:v>
      </x:c>
      <x:c r="H66" s="6" t="str">
        <x:v>초안</x:v>
      </x:c>
      <x:c r="I66" s="6" t="str">
        <x:v>보관 메타데이터와 공개 응답에 개인키 인코딩이 없고 필요한 공개 인증서만 포함된다.</x:v>
      </x:c>
      <x:c r="J66" s="6" t="str">
        <x:v>시험, 검토</x:v>
      </x:c>
      <x:c r="K66" s="6" t="str">
        <x:v>DES-009</x:v>
      </x:c>
      <x:c r="L66" s="6" t="str">
        <x:v>TC-061</x:v>
      </x:c>
      <x:c r="M66" s="6" t="str">
        <x:v>DEL-010
DEL-014
DEL-017
DEL-019
DEL-021</x:v>
      </x:c>
      <x:c r="N66" s="6" t="str">
        <x:v>보안 아키텍처·통제 설계서
발행 저장·공개 API 구현물
요구사항별 시험 명세서
보안 시험 결과서
설치·운영·인계 지침서</x:v>
      </x:c>
      <x:c r="O66" s="6" t="str">
        <x:v>개인키 비공개의 입력·처리·실패 조건을 설계에 명시.
구현 위치를 연결하고 TC-061 실제 결과·로그로 인수 기준 충족을 입증.</x:v>
      </x:c>
      <x:c r="P66" s="6" t="str">
        <x:v>해당 범위 채택 시 제출</x:v>
      </x:c>
      <x:c r="Q66" s="12" t="str"/>
      <x:c r="R66" s="6" t="str">
        <x:v>SR</x:v>
      </x:c>
    </x:row>
    <x:row r="67" ht="87" customHeight="1">
      <x:c r="A67" s="11" t="str">
        <x:v>SR-008</x:v>
      </x:c>
      <x:c r="B67" s="11" t="str">
        <x:v>보안</x:v>
      </x:c>
      <x:c r="C67" s="11" t="str">
        <x:v>단일 작성자</x:v>
      </x:c>
      <x:c r="D67" s="11" t="str">
        <x:v>같은 저장 루트에 두 번째 작성 WAS가 접근하면 시작을 실패시켜야 한다.</x:v>
      </x:c>
      <x:c r="E67" s="11" t="str">
        <x:v>LEG-복구 동시성</x:v>
      </x:c>
      <x:c r="F67" s="11" t="str">
        <x:v>PoC</x:v>
      </x:c>
      <x:c r="G67" s="11" t="str">
        <x:v>필수</x:v>
      </x:c>
      <x:c r="H67" s="11" t="str">
        <x:v>초안</x:v>
      </x:c>
      <x:c r="I67" s="11" t="str">
        <x:v>두 번째 인스턴스가 관리 쓰기를 시작하지 못하고 첫 번째 상태는 유지된다.</x:v>
      </x:c>
      <x:c r="J67" s="11" t="str">
        <x:v>시험, 검토</x:v>
      </x:c>
      <x:c r="K67" s="11" t="str">
        <x:v>DES-009</x:v>
      </x:c>
      <x:c r="L67" s="11" t="str">
        <x:v>TC-062</x:v>
      </x:c>
      <x:c r="M67" s="11" t="str">
        <x:v>DEL-010
DEL-014
DEL-017
DEL-019
DEL-021</x:v>
      </x:c>
      <x:c r="N67" s="11" t="str">
        <x:v>보안 아키텍처·통제 설계서
발행 저장·공개 API 구현물
요구사항별 시험 명세서
보안 시험 결과서
설치·운영·인계 지침서</x:v>
      </x:c>
      <x:c r="O67" s="11" t="str">
        <x:v>단일 작성자의 입력·처리·실패 조건을 설계에 명시.
구현 위치를 연결하고 TC-062 실제 결과·로그로 인수 기준 충족을 입증.</x:v>
      </x:c>
      <x:c r="P67" s="11" t="str">
        <x:v>해당 범위 채택 시 제출</x:v>
      </x:c>
      <x:c r="Q67" s="12" t="str"/>
      <x:c r="R67" s="11" t="str">
        <x:v>SR</x:v>
      </x:c>
    </x:row>
    <x:row r="68" ht="87" customHeight="1">
      <x:c r="A68" s="6" t="str">
        <x:v>SR-009</x:v>
      </x:c>
      <x:c r="B68" s="6" t="str">
        <x:v>보안</x:v>
      </x:c>
      <x:c r="C68" s="6" t="str">
        <x:v>운영 권한 강제</x:v>
      </x:c>
      <x:c r="D68" s="6" t="str">
        <x:v>운영 시스템은 조회·입력·심사·확정·발행의 권한을 서버에서 강제해야 한다.</x:v>
      </x:c>
      <x:c r="E68" s="6" t="str">
        <x:v>LEG-개념 §5.3; 제안: 서버 강제 명시</x:v>
      </x:c>
      <x:c r="F68" s="6" t="str">
        <x:v>운영 보류</x:v>
      </x:c>
      <x:c r="G68" s="6" t="str">
        <x:v>필수</x:v>
      </x:c>
      <x:c r="H68" s="6" t="str">
        <x:v>보류</x:v>
      </x:c>
      <x:c r="I68" s="6" t="str">
        <x:v>OQ-003의 역할 행렬에 없는 호출이 거부되고 상태가 바뀌지 않는다.</x:v>
      </x:c>
      <x:c r="J68" s="6" t="str">
        <x:v>시험, 검토</x:v>
      </x:c>
      <x:c r="K68" s="6" t="str">
        <x:v>DES-009</x:v>
      </x:c>
      <x:c r="L68" s="6" t="str">
        <x:v>TC-063</x:v>
      </x:c>
      <x:c r="M68" s="6" t="str">
        <x:v>DEL-010
DEL-016
DEL-017
DEL-019
DEL-021</x:v>
      </x:c>
      <x:c r="N68" s="6" t="str">
        <x:v>보안 아키텍처·통제 설계서
운영 확장 구현·배포 패키지
요구사항별 시험 명세서
보안 시험 결과서
설치·운영·인계 지침서</x:v>
      </x:c>
      <x:c r="O68" s="6" t="str">
        <x:v>운영 권한 강제의 입력·처리·실패 조건을 설계에 명시.
구현 위치를 연결하고 TC-063 실제 결과·로그로 인수 기준 충족을 입증.</x:v>
      </x:c>
      <x:c r="P68" s="6" t="str">
        <x:v>범위 확정 후 제출</x:v>
      </x:c>
      <x:c r="Q68" s="12" t="str"/>
      <x:c r="R68" s="6" t="str">
        <x:v>SR</x:v>
      </x:c>
    </x:row>
    <x:row r="69" ht="87" customHeight="1">
      <x:c r="A69" s="11" t="str">
        <x:v>SR-010</x:v>
      </x:c>
      <x:c r="B69" s="11" t="str">
        <x:v>보안</x:v>
      </x:c>
      <x:c r="C69" s="11" t="str">
        <x:v>운영 처리 이력</x:v>
      </x:c>
      <x:c r="D69" s="11" t="str">
        <x:v>운영 시스템은 주요 변경·심사·발행의 담당자·시각·사유를 기록해야 한다.</x:v>
      </x:c>
      <x:c r="E69" s="11" t="str">
        <x:v>LEG-개념 §5.3</x:v>
      </x:c>
      <x:c r="F69" s="11" t="str">
        <x:v>운영 보류</x:v>
      </x:c>
      <x:c r="G69" s="11" t="str">
        <x:v>필수</x:v>
      </x:c>
      <x:c r="H69" s="11" t="str">
        <x:v>보류</x:v>
      </x:c>
      <x:c r="I69" s="11" t="str">
        <x:v>각 성공·실패 작업의 기록 범위와 보존·열람 정책이 OQ-003에 따라 검증된다.</x:v>
      </x:c>
      <x:c r="J69" s="11" t="str">
        <x:v>시험, 검토</x:v>
      </x:c>
      <x:c r="K69" s="11" t="str">
        <x:v>DES-009</x:v>
      </x:c>
      <x:c r="L69" s="11" t="str">
        <x:v>TC-064</x:v>
      </x:c>
      <x:c r="M69" s="11" t="str">
        <x:v>DEL-010
DEL-016
DEL-017
DEL-019
DEL-021</x:v>
      </x:c>
      <x:c r="N69" s="11" t="str">
        <x:v>보안 아키텍처·통제 설계서
운영 확장 구현·배포 패키지
요구사항별 시험 명세서
보안 시험 결과서
설치·운영·인계 지침서</x:v>
      </x:c>
      <x:c r="O69" s="11" t="str">
        <x:v>운영 처리 이력의 입력·처리·실패 조건을 설계에 명시.
구현 위치를 연결하고 TC-064 실제 결과·로그로 인수 기준 충족을 입증.</x:v>
      </x:c>
      <x:c r="P69" s="11" t="str">
        <x:v>범위 확정 후 제출</x:v>
      </x:c>
      <x:c r="Q69" s="12" t="str"/>
      <x:c r="R69" s="11" t="str">
        <x:v>SR</x:v>
      </x:c>
    </x:row>
    <x:row r="70" ht="87" customHeight="1">
      <x:c r="A70" s="6" t="str">
        <x:v>SR-011</x:v>
      </x:c>
      <x:c r="B70" s="6" t="str">
        <x:v>보안</x:v>
      </x:c>
      <x:c r="C70" s="6" t="str">
        <x:v>저장 경로 이탈 차단</x:v>
      </x:c>
      <x:c r="D70" s="6" t="str">
        <x:v>외부 입력이 지정 저장 루트 밖 파일 접근으로 연결되지 않도록 해야 한다.</x:v>
      </x:c>
      <x:c r="E70" s="6" t="str">
        <x:v>제안: 파일 기반 관리 입력의 보안 요구</x:v>
      </x:c>
      <x:c r="F70" s="6" t="str">
        <x:v>보안 제안</x:v>
      </x:c>
      <x:c r="G70" s="6" t="str">
        <x:v>권장</x:v>
      </x:c>
      <x:c r="H70" s="6" t="str">
        <x:v>초안</x:v>
      </x:c>
      <x:c r="I70" s="6" t="str">
        <x:v>상대경로 이탈·절대경로·루트 밖 링크 입력이 거부되고 외부 파일 내용은 노출되지 않는다.</x:v>
      </x:c>
      <x:c r="J70" s="6" t="str">
        <x:v>시험, 검토</x:v>
      </x:c>
      <x:c r="K70" s="6" t="str">
        <x:v>DES-009</x:v>
      </x:c>
      <x:c r="L70" s="6" t="str">
        <x:v>TC-065</x:v>
      </x:c>
      <x:c r="M70" s="6" t="str">
        <x:v>DEL-010
DEL-014
DEL-017
DEL-019
DEL-021</x:v>
      </x:c>
      <x:c r="N70" s="6" t="str">
        <x:v>보안 아키텍처·통제 설계서
발행 저장·공개 API 구현물
요구사항별 시험 명세서
보안 시험 결과서
설치·운영·인계 지침서</x:v>
      </x:c>
      <x:c r="O70" s="6" t="str">
        <x:v>저장 경로 이탈 차단의 입력·처리·실패 조건을 설계에 명시.
구현 위치를 연결하고 TC-065 실제 결과·로그로 인수 기준 충족을 입증.</x:v>
      </x:c>
      <x:c r="P70" s="6" t="str">
        <x:v>해당 범위 채택 시 제출</x:v>
      </x:c>
      <x:c r="Q70" s="12" t="str"/>
      <x:c r="R70" s="6" t="str">
        <x:v>SR</x:v>
      </x:c>
    </x:row>
    <x:row r="71" ht="87" customHeight="1">
      <x:c r="A71" s="11" t="str">
        <x:v>NFR-001</x:v>
      </x:c>
      <x:c r="B71" s="11" t="str">
        <x:v>품질·운영</x:v>
      </x:c>
      <x:c r="C71" s="11" t="str">
        <x:v>프로세스 중단 복구</x:v>
      </x:c>
      <x:c r="D71" s="11" t="str">
        <x:v>발행 상태는 확정 지점 기준으로 재기동 후 복구 가능해야 한다.</x:v>
      </x:c>
      <x:c r="E71" s="11" t="str">
        <x:v>LEG-복구 장애 지점별 복구</x:v>
      </x:c>
      <x:c r="F71" s="11" t="str">
        <x:v>PoC</x:v>
      </x:c>
      <x:c r="G71" s="11" t="str">
        <x:v>필수</x:v>
      </x:c>
      <x:c r="H71" s="11" t="str">
        <x:v>초안</x:v>
      </x:c>
      <x:c r="I71" s="11" t="str">
        <x:v>확정 전 orphan은 자동 제공되지 않고 확정 후 결과는 동일 ID·바이트로 재조회된다.</x:v>
      </x:c>
      <x:c r="J71" s="11" t="str">
        <x:v>시험</x:v>
      </x:c>
      <x:c r="K71" s="11" t="str">
        <x:v>DES-010</x:v>
      </x:c>
      <x:c r="L71" s="11" t="str">
        <x:v>TC-066</x:v>
      </x:c>
      <x:c r="M71" s="11" t="str">
        <x:v>DEL-011
DEL-014
DEL-017
DEL-020
DEL-021</x:v>
      </x:c>
      <x:c r="N71" s="11" t="str">
        <x:v>품질·운영·복구 명세서
발행 저장·공개 API 구현물
요구사항별 시험 명세서
장애 복구·품질 시험 결과서
설치·운영·인계 지침서</x:v>
      </x:c>
      <x:c r="O71" s="11" t="str">
        <x:v>프로세스 중단 복구의 입력·처리·실패 조건을 설계에 명시.
구현 위치를 연결하고 TC-066 실제 결과·로그로 인수 기준 충족을 입증.</x:v>
      </x:c>
      <x:c r="P71" s="11" t="str">
        <x:v>해당 범위 채택 시 제출</x:v>
      </x:c>
      <x:c r="Q71" s="12" t="str"/>
      <x:c r="R71" s="11" t="str">
        <x:v>NFR</x:v>
      </x:c>
    </x:row>
    <x:row r="72" ht="87" customHeight="1">
      <x:c r="A72" s="6" t="str">
        <x:v>NFR-002</x:v>
      </x:c>
      <x:c r="B72" s="6" t="str">
        <x:v>품질·운영</x:v>
      </x:c>
      <x:c r="C72" s="6" t="str">
        <x:v>단일 응답 일관성</x:v>
      </x:c>
      <x:c r="D72" s="6" t="str">
        <x:v>각 조회 응답의 헤더·본문·해시는 하나의 발행본을 기준으로 해야 한다.</x:v>
      </x:c>
      <x:c r="E72" s="6" t="str">
        <x:v>LEG-복구 제공본 선택과 읽기</x:v>
      </x:c>
      <x:c r="F72" s="6" t="str">
        <x:v>공통</x:v>
      </x:c>
      <x:c r="G72" s="6" t="str">
        <x:v>필수</x:v>
      </x:c>
      <x:c r="H72" s="6" t="str">
        <x:v>초안</x:v>
      </x:c>
      <x:c r="I72" s="6" t="str">
        <x:v>동시 게시 전환 중 각 XML 응답의 ETag와 본문 해시가 일치한다.</x:v>
      </x:c>
      <x:c r="J72" s="6" t="str">
        <x:v>시험</x:v>
      </x:c>
      <x:c r="K72" s="6" t="str">
        <x:v>DES-010</x:v>
      </x:c>
      <x:c r="L72" s="6" t="str">
        <x:v>TC-067</x:v>
      </x:c>
      <x:c r="M72" s="6" t="str">
        <x:v>DEL-011
DEL-014
DEL-017
DEL-020
DEL-021</x:v>
      </x:c>
      <x:c r="N72" s="6" t="str">
        <x:v>품질·운영·복구 명세서
발행 저장·공개 API 구현물
요구사항별 시험 명세서
장애 복구·품질 시험 결과서
설치·운영·인계 지침서</x:v>
      </x:c>
      <x:c r="O72" s="6" t="str">
        <x:v>단일 응답 일관성의 입력·처리·실패 조건을 설계에 명시.
구현 위치를 연결하고 TC-067 실제 결과·로그로 인수 기준 충족을 입증.</x:v>
      </x:c>
      <x:c r="P72" s="6" t="str">
        <x:v>해당 범위 채택 시 제출</x:v>
      </x:c>
      <x:c r="Q72" s="12" t="str"/>
      <x:c r="R72" s="6" t="str">
        <x:v>NFR</x:v>
      </x:c>
    </x:row>
    <x:row r="73" ht="87" customHeight="1">
      <x:c r="A73" s="11" t="str">
        <x:v>NFR-003</x:v>
      </x:c>
      <x:c r="B73" s="11" t="str">
        <x:v>품질·운영</x:v>
      </x:c>
      <x:c r="C73" s="11" t="str">
        <x:v>처리량·응답시간 목표</x:v>
      </x:c>
      <x:c r="D73" s="11" t="str">
        <x:v>운영 용량과 응답시간 목표는 부하 조건과 함께 정의해야 한다.</x:v>
      </x:c>
      <x:c r="E73" s="11" t="str">
        <x:v>제안: 운영 비기능 기준</x:v>
      </x:c>
      <x:c r="F73" s="11" t="str">
        <x:v>운영 보류</x:v>
      </x:c>
      <x:c r="G73" s="11" t="str">
        <x:v>필수</x:v>
      </x:c>
      <x:c r="H73" s="11" t="str">
        <x:v>보류</x:v>
      </x:c>
      <x:c r="I73" s="11" t="str">
        <x:v>OQ-006에 사용자 수·자료량·부하·p95·오류율 기준이 확정된 후 그 기준으로 측정한다.</x:v>
      </x:c>
      <x:c r="J73" s="11" t="str">
        <x:v>검토</x:v>
      </x:c>
      <x:c r="K73" s="11" t="str">
        <x:v>DES-010</x:v>
      </x:c>
      <x:c r="L73" s="11" t="str">
        <x:v>TC-068</x:v>
      </x:c>
      <x:c r="M73" s="11" t="str">
        <x:v>DEL-011
DEL-014
DEL-017
DEL-020
DEL-021</x:v>
      </x:c>
      <x:c r="N73" s="11" t="str">
        <x:v>품질·운영·복구 명세서
발행 저장·공개 API 구현물
요구사항별 시험 명세서
장애 복구·품질 시험 결과서
설치·운영·인계 지침서</x:v>
      </x:c>
      <x:c r="O73" s="11" t="str">
        <x:v>처리량·응답시간 목표의 입력·처리·실패 조건을 설계에 명시.
구현 위치를 연결하고 TC-068 실제 결과·로그로 인수 기준 충족을 입증.</x:v>
      </x:c>
      <x:c r="P73" s="11" t="str">
        <x:v>범위 확정 후 제출</x:v>
      </x:c>
      <x:c r="Q73" s="12" t="str"/>
      <x:c r="R73" s="11" t="str">
        <x:v>NFR</x:v>
      </x:c>
    </x:row>
    <x:row r="74" ht="87" customHeight="1">
      <x:c r="A74" s="6" t="str">
        <x:v>NFR-004</x:v>
      </x:c>
      <x:c r="B74" s="6" t="str">
        <x:v>품질·운영</x:v>
      </x:c>
      <x:c r="C74" s="6" t="str">
        <x:v>보존·복원 목표</x:v>
      </x:c>
      <x:c r="D74" s="6" t="str">
        <x:v>초안·발행본·작업진단·키의 보존 및 복원 목표를 구분해야 한다.</x:v>
      </x:c>
      <x:c r="E74" s="6" t="str">
        <x:v>LEG-복구 범위; 제안: 운영 보존 기준</x:v>
      </x:c>
      <x:c r="F74" s="6" t="str">
        <x:v>운영 보류</x:v>
      </x:c>
      <x:c r="G74" s="6" t="str">
        <x:v>필수</x:v>
      </x:c>
      <x:c r="H74" s="6" t="str">
        <x:v>보류</x:v>
      </x:c>
      <x:c r="I74" s="6" t="str">
        <x:v>OQ-006에 보존 기간·RPO·RTO·키 복원 책임이 정해진 후 복구 결과와 대조한다.</x:v>
      </x:c>
      <x:c r="J74" s="6" t="str">
        <x:v>검토</x:v>
      </x:c>
      <x:c r="K74" s="6" t="str">
        <x:v>DES-010</x:v>
      </x:c>
      <x:c r="L74" s="6" t="str">
        <x:v>TC-069</x:v>
      </x:c>
      <x:c r="M74" s="6" t="str">
        <x:v>DEL-011
DEL-014
DEL-017
DEL-020
DEL-021</x:v>
      </x:c>
      <x:c r="N74" s="6" t="str">
        <x:v>품질·운영·복구 명세서
발행 저장·공개 API 구현물
요구사항별 시험 명세서
장애 복구·품질 시험 결과서
설치·운영·인계 지침서</x:v>
      </x:c>
      <x:c r="O74" s="6" t="str">
        <x:v>보존·복원 목표의 입력·처리·실패 조건을 설계에 명시.
구현 위치를 연결하고 TC-069 실제 결과·로그로 인수 기준 충족을 입증.</x:v>
      </x:c>
      <x:c r="P74" s="6" t="str">
        <x:v>범위 확정 후 제출</x:v>
      </x:c>
      <x:c r="Q74" s="12" t="str"/>
      <x:c r="R74" s="6" t="str">
        <x:v>NFR</x:v>
      </x:c>
    </x:row>
    <x:row r="75" ht="87" customHeight="1">
      <x:c r="A75" s="11" t="str">
        <x:v>NFR-005</x:v>
      </x:c>
      <x:c r="B75" s="11" t="str">
        <x:v>품질·운영</x:v>
      </x:c>
      <x:c r="C75" s="11" t="str">
        <x:v>로컬 자료 경로 일원화</x:v>
      </x:c>
      <x:c r="D75" s="11" t="str">
        <x:v>Git 비관리 실행 자료와 표준 원문은 main의 설정된 경로를 참조해야 한다.</x:v>
      </x:c>
      <x:c r="E75" s="11" t="str">
        <x:v>POL-02 2026-10-26 사용자 결정</x:v>
      </x:c>
      <x:c r="F75" s="11" t="str">
        <x:v>PoC</x:v>
      </x:c>
      <x:c r="G75" s="11" t="str">
        <x:v>필수</x:v>
      </x:c>
      <x:c r="H75" s="11" t="str">
        <x:v>초안</x:v>
      </x:c>
      <x:c r="I75" s="11" t="str">
        <x:v>워크트리 설정은 main을 가리키고 원문·키·로그 복사본을 워크트리에 생성하지 않는다.</x:v>
      </x:c>
      <x:c r="J75" s="11" t="str">
        <x:v>시험</x:v>
      </x:c>
      <x:c r="K75" s="11" t="str">
        <x:v>DES-010</x:v>
      </x:c>
      <x:c r="L75" s="11" t="str">
        <x:v>TC-070</x:v>
      </x:c>
      <x:c r="M75" s="11" t="str">
        <x:v>DEL-011
DEL-014
DEL-017
DEL-020
DEL-021</x:v>
      </x:c>
      <x:c r="N75" s="11" t="str">
        <x:v>품질·운영·복구 명세서
발행 저장·공개 API 구현물
요구사항별 시험 명세서
장애 복구·품질 시험 결과서
설치·운영·인계 지침서</x:v>
      </x:c>
      <x:c r="O75" s="11" t="str">
        <x:v>로컬 자료 경로 일원화의 입력·처리·실패 조건을 설계에 명시.
구현 위치를 연결하고 TC-070 실제 결과·로그로 인수 기준 충족을 입증.</x:v>
      </x:c>
      <x:c r="P75" s="11" t="str">
        <x:v>해당 범위 채택 시 제출</x:v>
      </x:c>
      <x:c r="Q75" s="12" t="str"/>
      <x:c r="R75" s="11" t="str">
        <x:v>NFR</x:v>
      </x:c>
    </x:row>
  </x:sheetData>
  <x:conditionalFormatting sqref="H6:H75">
    <x:cfRule type="containsText" dxfId="0" priority="1" operator="containsText" text="보류"/>
  </x:conditionalFormatting>
  <x:dataValidations count="1">
    <x:dataValidation type="list" sqref="H6:H75">
      <x:formula1>"초안,확정,변경 중,보류,삭제"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2ba7a875e7499a"/>
  </x:tableParts>
</x:worksheet>
</file>

<file path=xl/worksheets/sheet2.xml><?xml version="1.0" encoding="utf-8"?>
<x:worksheet xmlns:x="http://schemas.openxmlformats.org/spreadsheetml/2006/main">
  <x:sheetPr>
    <x:tabColor rgb="FF315C7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7" hidden="0" customWidth="1"/>
    <x:col min="4" max="4" width="26" hidden="0" customWidth="1"/>
    <x:col min="5" max="5" width="62" hidden="0" customWidth="1"/>
    <x:col min="6" max="6" width="62" hidden="0" customWidth="1"/>
    <x:col min="7" max="7" width="62" hidden="0" customWidth="1"/>
    <x:col min="8" max="8" width="12" hidden="0" customWidth="1"/>
    <x:col min="9" max="9" width="24" hidden="0" customWidth="1"/>
    <x:col min="10" max="10" width="65" hidden="0" customWidth="1"/>
    <x:col min="11" max="11" width="28" hidden="0" customWidth="1"/>
    <x:col min="12" max="12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3" t="str">
        <x:v>요구사항에서 도출한 산출물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24종 제출 단위 제안. 기존 설계는 백업 근거이며 새 설계 완료로 승계하지 않는다. 작성 상태와 완료 기준을 구분한다.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10" t="str">
        <x:v>산출물 ID</x:v>
      </x:c>
      <x:c r="B5" s="10" t="str">
        <x:v>산출물명</x:v>
      </x:c>
      <x:c r="C5" s="10" t="str">
        <x:v>단계</x:v>
      </x:c>
      <x:c r="D5" s="10" t="str">
        <x:v>형식</x:v>
      </x:c>
      <x:c r="E5" s="10" t="str">
        <x:v>필수 구성 내용</x:v>
      </x:c>
      <x:c r="F5" s="10" t="str">
        <x:v>완료·검수 기준</x:v>
      </x:c>
      <x:c r="G5" s="10" t="str">
        <x:v>관련 요구사항</x:v>
      </x:c>
      <x:c r="H5" s="10" t="str">
        <x:v>요구 수</x:v>
      </x:c>
      <x:c r="I5" s="10" t="str">
        <x:v>현재 작성 상태</x:v>
      </x:c>
      <x:c r="J5" s="10" t="str">
        <x:v>현재 자료 위치</x:v>
      </x:c>
      <x:c r="K5" s="10" t="str">
        <x:v>적용 조건</x:v>
      </x:c>
      <x:c r="L5" s="10" t="str">
        <x:v>검토 의견</x:v>
      </x:c>
    </x:row>
    <x:row r="6" ht="57" customHeight="1">
      <x:c r="A6" s="6" t="str">
        <x:v>DEL-001</x:v>
      </x:c>
      <x:c r="B6" s="6" t="str">
        <x:v>요구사항 정의서</x:v>
      </x:c>
      <x:c r="C6" s="6" t="str">
        <x:v>분석</x:v>
      </x:c>
      <x:c r="D6" s="6" t="str">
        <x:v>XLSX / MD</x:v>
      </x:c>
      <x:c r="E6" s="6" t="str">
        <x:v>범위, 요구 ID, 출처·조항, 우선순위, 인수 기준, 보류 사유</x:v>
      </x:c>
      <x:c r="F6" s="6" t="str">
        <x:v>70개 요구에 근거·인수·시험·산출물 연결이 있고 사용자 검토를 반영</x:v>
      </x:c>
      <x:c r="G6" s="6" t="str">
        <x:v>FR-001 ~ FR-054
SR-001 ~ SR-011
NFR-001 ~ NFR-005</x:v>
      </x:c>
      <x:c r="H6" s="6" t="n">
        <x:v>70</x:v>
      </x:c>
      <x:c r="I6" s="6" t="str">
        <x:v>초안 작성</x:v>
      </x:c>
      <x:c r="J6" s="6" t="str">
        <x:v>C:/Users/sol74/orca/workspaces/kr-dss/kr-tl/docs/design/poc/tl-management/requirements.md</x:v>
      </x:c>
      <x:c r="K6" s="6" t="str">
        <x:v>보류 요구는 확정 후 포함</x:v>
      </x:c>
      <x:c r="L6" s="12" t="str"/>
    </x:row>
    <x:row r="7" ht="44" customHeight="1">
      <x:c r="A7" s="11" t="str">
        <x:v>DEL-002</x:v>
      </x:c>
      <x:c r="B7" s="11" t="str">
        <x:v>사업자·서비스 데이터 설계서</x:v>
      </x:c>
      <x:c r="C7" s="11" t="str">
        <x:v>설계</x:v>
      </x:c>
      <x:c r="D7" s="11" t="str">
        <x:v>MD / ERD / 상태도</x:v>
      </x:c>
      <x:c r="E7" s="11" t="str">
        <x:v>listId·providerId·serviceId, 필드·제약, 상태 전이, 삭제 정책, 이력 참조</x:v>
      </x:c>
      <x:c r="F7" s="11" t="str">
        <x:v>등록·변경·삭제·전이의 정상/실패 조건과 저장 제약이 확정</x:v>
      </x:c>
      <x:c r="G7" s="11" t="str">
        <x:v>FR-001 ~ FR-010</x:v>
      </x:c>
      <x:c r="H7" s="11" t="n">
        <x:v>10</x:v>
      </x:c>
      <x:c r="I7" s="11" t="str">
        <x:v>작성 예정</x:v>
      </x:c>
      <x:c r="J7" s="11" t="str">
        <x:v>미작성 또는 요구별 코드·증거 연결 전</x:v>
      </x:c>
      <x:c r="K7" s="11" t="str">
        <x:v>보류 요구는 확정 후 포함</x:v>
      </x:c>
      <x:c r="L7" s="12" t="str"/>
    </x:row>
    <x:row r="8" ht="44" customHeight="1">
      <x:c r="A8" s="6" t="str">
        <x:v>DEL-003</x:v>
      </x:c>
      <x:c r="B8" s="6" t="str">
        <x:v>인증서·서비스 이력 설계서</x:v>
      </x:c>
      <x:c r="C8" s="6" t="str">
        <x:v>설계</x:v>
      </x:c>
      <x:c r="D8" s="6" t="str">
        <x:v>MD / XML 사례</x:v>
      </x:c>
      <x:c r="E8" s="6" t="str">
        <x:v>PEM·DER 검사, 공개키·Subject 비교, 키 갱신, 현재·이력 디지털 ID, 시각 경계</x:v>
      </x:c>
      <x:c r="F8" s="6" t="str">
        <x:v>동일키/새키·경계시각 사례를 설명하고 표준 조항과 대응</x:v>
      </x:c>
      <x:c r="G8" s="6" t="str">
        <x:v>FR-011 ~ FR-015
FR-017</x:v>
      </x:c>
      <x:c r="H8" s="6" t="n">
        <x:v>6</x:v>
      </x:c>
      <x:c r="I8" s="6" t="str">
        <x:v>작성 예정</x:v>
      </x:c>
      <x:c r="J8" s="6" t="str">
        <x:v>미작성 또는 요구별 코드·증거 연결 전</x:v>
      </x:c>
      <x:c r="K8" s="6" t="str">
        <x:v>채택된 요구 범위 적용</x:v>
      </x:c>
      <x:c r="L8" s="12" t="str"/>
    </x:row>
    <x:row r="9" ht="44" customHeight="1">
      <x:c r="A9" s="11" t="str">
        <x:v>DEL-004</x:v>
      </x:c>
      <x:c r="B9" s="11" t="str">
        <x:v>KR-TL 프로파일·스키마 명세</x:v>
      </x:c>
      <x:c r="C9" s="11" t="str">
        <x:v>설계</x:v>
      </x:c>
      <x:c r="D9" s="11" t="str">
        <x:v>MD / XSD / XML</x:v>
      </x:c>
      <x:c r="E9" s="11" t="str">
        <x:v>형식6, 순번, NextUpdate, URI, 확장, 언어, 서명 프로파일, 정상·오류 XML</x:v>
      </x:c>
      <x:c r="F9" s="11" t="str">
        <x:v>채택 판본·예외·전체 XSD 인수 범위가 확정되고 대표 XML 검증 근거 존재</x:v>
      </x:c>
      <x:c r="G9" s="11" t="str">
        <x:v>FR-018 ~ FR-026</x:v>
      </x:c>
      <x:c r="H9" s="11" t="n">
        <x:v>9</x:v>
      </x:c>
      <x:c r="I9" s="11" t="str">
        <x:v>작성 예정</x:v>
      </x:c>
      <x:c r="J9" s="11" t="str">
        <x:v>미작성 또는 요구별 코드·증거 연결 전</x:v>
      </x:c>
      <x:c r="K9" s="11" t="str">
        <x:v>보류 요구는 확정 후 포함</x:v>
      </x:c>
      <x:c r="L9" s="12" t="str"/>
    </x:row>
    <x:row r="10" ht="44" customHeight="1">
      <x:c r="A10" s="6" t="str">
        <x:v>DEL-005</x:v>
      </x:c>
      <x:c r="B10" s="6" t="str">
        <x:v>발행·저장·복구 설계서</x:v>
      </x:c>
      <x:c r="C10" s="6" t="str">
        <x:v>설계</x:v>
      </x:c>
      <x:c r="D10" s="6" t="str">
        <x:v>MD / 상태도 / JSON</x:v>
      </x:c>
      <x:c r="E10" s="6" t="str">
        <x:v>revision, issuanceId, requestId, 원자적 확정, 중복·충돌, 잠금, 장애 복구</x:v>
      </x:c>
      <x:c r="F10" s="6" t="str">
        <x:v>실패 주입 지점별 상태 전이와 복구 후 불변조건 정의</x:v>
      </x:c>
      <x:c r="G10" s="6" t="str">
        <x:v>FR-027 ~ FR-035</x:v>
      </x:c>
      <x:c r="H10" s="6" t="n">
        <x:v>9</x:v>
      </x:c>
      <x:c r="I10" s="6" t="str">
        <x:v>작성 예정</x:v>
      </x:c>
      <x:c r="J10" s="6" t="str">
        <x:v>미작성 또는 요구별 코드·증거 연결 전</x:v>
      </x:c>
      <x:c r="K10" s="6" t="str">
        <x:v>채택된 요구 범위 적용</x:v>
      </x:c>
      <x:c r="L10" s="12" t="str"/>
    </x:row>
    <x:row r="11" ht="44" customHeight="1">
      <x:c r="A11" s="11" t="str">
        <x:v>DEL-006</x:v>
      </x:c>
      <x:c r="B11" s="11" t="str">
        <x:v>TL 제공 API 명세서</x:v>
      </x:c>
      <x:c r="C11" s="11" t="str">
        <x:v>설계</x:v>
      </x:c>
      <x:c r="D11" s="11" t="str">
        <x:v>OpenAPI / MD</x:v>
      </x:c>
      <x:c r="E11" s="11" t="str">
        <x:v>발행본 선택, URL·메서드, XML·sha2, ETag, 조건부 GET, 404·503, 캐시</x:v>
      </x:c>
      <x:c r="F11" s="11" t="str">
        <x:v>응답 코드·헤더·본문·무변경 조건을 입력별로 판정 가능</x:v>
      </x:c>
      <x:c r="G11" s="11" t="str">
        <x:v>FR-036 ~ FR-043</x:v>
      </x:c>
      <x:c r="H11" s="11" t="n">
        <x:v>8</x:v>
      </x:c>
      <x:c r="I11" s="11" t="str">
        <x:v>작성 예정</x:v>
      </x:c>
      <x:c r="J11" s="11" t="str">
        <x:v>미작성 또는 요구별 코드·증거 연결 전</x:v>
      </x:c>
      <x:c r="K11" s="11" t="str">
        <x:v>채택된 요구 범위 적용</x:v>
      </x:c>
      <x:c r="L11" s="12" t="str"/>
    </x:row>
    <x:row r="12" ht="44" customHeight="1">
      <x:c r="A12" s="6" t="str">
        <x:v>DEL-007</x:v>
      </x:c>
      <x:c r="B12" s="6" t="str">
        <x:v>관리 화면·업무 명세서</x:v>
      </x:c>
      <x:c r="C12" s="6" t="str">
        <x:v>설계</x:v>
      </x:c>
      <x:c r="D12" s="6" t="str">
        <x:v>MD / 화면 정의</x:v>
      </x:c>
      <x:c r="E12" s="6" t="str">
        <x:v>정상·시험 발행 표시, 제외 업무 안내, 유효기간 표시, 입력·오류 메시지</x:v>
      </x:c>
      <x:c r="F12" s="6" t="str">
        <x:v>화면 필드·동작·API·오류가 요구 ID와 연결</x:v>
      </x:c>
      <x:c r="G12" s="6" t="str">
        <x:v>FR-044 ~ FR-046</x:v>
      </x:c>
      <x:c r="H12" s="6" t="n">
        <x:v>3</x:v>
      </x:c>
      <x:c r="I12" s="6" t="str">
        <x:v>작성 예정</x:v>
      </x:c>
      <x:c r="J12" s="6" t="str">
        <x:v>미작성 또는 요구별 코드·증거 연결 전</x:v>
      </x:c>
      <x:c r="K12" s="6" t="str">
        <x:v>채택된 요구 범위 적용</x:v>
      </x:c>
      <x:c r="L12" s="12" t="str"/>
    </x:row>
    <x:row r="13" ht="72" customHeight="1">
      <x:c r="A13" s="11" t="str">
        <x:v>DEL-008</x:v>
      </x:c>
      <x:c r="B13" s="11" t="str">
        <x:v>외부 소비자 신뢰검증 명세</x:v>
      </x:c>
      <x:c r="C13" s="11" t="str">
        <x:v>연계</x:v>
      </x:c>
      <x:c r="D13" s="11" t="str">
        <x:v>MD / 샘플 계약</x:v>
      </x:c>
      <x:c r="E13" s="11" t="str">
        <x:v>신뢰점 사전 설정, 서명·갱신·순번, 상태 시점, 미지 URI·critical 확장, 판정 출처</x:v>
      </x:c>
      <x:c r="F13" s="11" t="str">
        <x:v>관리시스템과 소비자 책임을 구분하고 실패시 수용 금지 규칙 정의</x:v>
      </x:c>
      <x:c r="G13" s="11" t="str">
        <x:v>FR-016
FR-047 ~ FR-048
SR-004
SR-006</x:v>
      </x:c>
      <x:c r="H13" s="11" t="n">
        <x:v>5</x:v>
      </x:c>
      <x:c r="I13" s="11" t="str">
        <x:v>작성 예정</x:v>
      </x:c>
      <x:c r="J13" s="11" t="str">
        <x:v>미작성 또는 요구별 코드·증거 연결 전</x:v>
      </x:c>
      <x:c r="K13" s="11" t="str">
        <x:v>채택된 요구 범위 적용</x:v>
      </x:c>
      <x:c r="L13" s="12" t="str"/>
    </x:row>
    <x:row r="14" ht="44" customHeight="1">
      <x:c r="A14" s="6" t="str">
        <x:v>DEL-009</x:v>
      </x:c>
      <x:c r="B14" s="6" t="str">
        <x:v>운영 업무·연계 정책서</x:v>
      </x:c>
      <x:c r="C14" s="6" t="str">
        <x:v>운영 설계</x:v>
      </x:c>
      <x:c r="D14" s="6" t="str">
        <x:v>MD / 업무 흐름</x:v>
      </x:c>
      <x:c r="E14" s="6" t="str">
        <x:v>신청·심사, 역할, 자동 수집·동기화, 갱신 주기, 운영 배포 경계</x:v>
      </x:c>
      <x:c r="F14" s="6" t="str">
        <x:v>OQ-002·003·006·008 결정 후 운영 요구의 수용 범위 승인</x:v>
      </x:c>
      <x:c r="G14" s="6" t="str">
        <x:v>FR-049 ~ FR-052</x:v>
      </x:c>
      <x:c r="H14" s="6" t="n">
        <x:v>4</x:v>
      </x:c>
      <x:c r="I14" s="6" t="str">
        <x:v>보류</x:v>
      </x:c>
      <x:c r="J14" s="6" t="str">
        <x:v>미작성 또는 요구별 코드·증거 연결 전</x:v>
      </x:c>
      <x:c r="K14" s="6" t="str">
        <x:v>범위 확정 후</x:v>
      </x:c>
      <x:c r="L14" s="12" t="str"/>
    </x:row>
    <x:row r="15" ht="72" customHeight="1">
      <x:c r="A15" s="11" t="str">
        <x:v>DEL-010</x:v>
      </x:c>
      <x:c r="B15" s="11" t="str">
        <x:v>보안 아키텍처·통제 설계서</x:v>
      </x:c>
      <x:c r="C15" s="11" t="str">
        <x:v>보안 설계</x:v>
      </x:c>
      <x:c r="D15" s="11" t="str">
        <x:v>MD / 위협·통제표</x:v>
      </x:c>
      <x:c r="E15" s="11" t="str">
        <x:v>서명·키, BASELINE/TRIAL 격리, 경로 제약, 단일 쓰기, 운영 접근권한·감사</x:v>
      </x:c>
      <x:c r="F15" s="11" t="str">
        <x:v>자산·신뢰 경계·위협·강제 주체·통제·보안 시험 연결</x:v>
      </x:c>
      <x:c r="G15" s="11" t="str">
        <x:v>FR-053 ~ FR-054
SR-001 ~ SR-003
SR-005
SR-007 ~ SR-011</x:v>
      </x:c>
      <x:c r="H15" s="11" t="n">
        <x:v>11</x:v>
      </x:c>
      <x:c r="I15" s="11" t="str">
        <x:v>작성 예정</x:v>
      </x:c>
      <x:c r="J15" s="11" t="str">
        <x:v>미작성 또는 요구별 코드·증거 연결 전</x:v>
      </x:c>
      <x:c r="K15" s="11" t="str">
        <x:v>보류 요구는 확정 후 포함</x:v>
      </x:c>
      <x:c r="L15" s="12" t="str"/>
    </x:row>
    <x:row r="16" ht="44" customHeight="1">
      <x:c r="A16" s="6" t="str">
        <x:v>DEL-011</x:v>
      </x:c>
      <x:c r="B16" s="6" t="str">
        <x:v>품질·운영·복구 명세서</x:v>
      </x:c>
      <x:c r="C16" s="6" t="str">
        <x:v>운영 설계</x:v>
      </x:c>
      <x:c r="D16" s="6" t="str">
        <x:v>MD / 설정 명세</x:v>
      </x:c>
      <x:c r="E16" s="6" t="str">
        <x:v>응답 일관성, crash 복구, 부하·응답시간, 보존·RPO·RTO, main 경로</x:v>
      </x:c>
      <x:c r="F16" s="6" t="str">
        <x:v>확정 목표·측정 조건·복구 절차·보관 경로를 명시</x:v>
      </x:c>
      <x:c r="G16" s="6" t="str">
        <x:v>NFR-001 ~ NFR-005</x:v>
      </x:c>
      <x:c r="H16" s="6" t="n">
        <x:v>5</x:v>
      </x:c>
      <x:c r="I16" s="6" t="str">
        <x:v>작성 예정</x:v>
      </x:c>
      <x:c r="J16" s="6" t="str">
        <x:v>미작성 또는 요구별 코드·증거 연결 전</x:v>
      </x:c>
      <x:c r="K16" s="6" t="str">
        <x:v>보류 요구는 확정 후 포함</x:v>
      </x:c>
      <x:c r="L16" s="12" t="str"/>
    </x:row>
    <x:row r="17" ht="44" customHeight="1">
      <x:c r="A17" s="11" t="str">
        <x:v>DEL-012</x:v>
      </x:c>
      <x:c r="B17" s="11" t="str">
        <x:v>관리 기능 구현물</x:v>
      </x:c>
      <x:c r="C17" s="11" t="str">
        <x:v>구현</x:v>
      </x:c>
      <x:c r="D17" s="11" t="str">
        <x:v>소스 / 빌드 산출물</x:v>
      </x:c>
      <x:c r="E17" s="11" t="str">
        <x:v>사업자·서비스·인증서 관리, 변경 이력, 화면·유효성 검사</x:v>
      </x:c>
      <x:c r="F17" s="11" t="str">
        <x:v>요구별 코드 위치·빌드 버전·단위시험이 연결</x:v>
      </x:c>
      <x:c r="G17" s="11" t="str">
        <x:v>FR-001 ~ FR-010
FR-044 ~ FR-046</x:v>
      </x:c>
      <x:c r="H17" s="11" t="n">
        <x:v>13</x:v>
      </x:c>
      <x:c r="I17" s="11" t="str">
        <x:v>기존 구현 재검토</x:v>
      </x:c>
      <x:c r="J17" s="11" t="str">
        <x:v>미작성 또는 요구별 코드·증거 연결 전</x:v>
      </x:c>
      <x:c r="K17" s="11" t="str">
        <x:v>보류 요구는 확정 후 포함</x:v>
      </x:c>
      <x:c r="L17" s="12" t="str"/>
    </x:row>
    <x:row r="18" ht="57" customHeight="1">
      <x:c r="A18" s="6" t="str">
        <x:v>DEL-013</x:v>
      </x:c>
      <x:c r="B18" s="6" t="str">
        <x:v>TL 생성·서명 구현물</x:v>
      </x:c>
      <x:c r="C18" s="6" t="str">
        <x:v>구현</x:v>
      </x:c>
      <x:c r="D18" s="6" t="str">
        <x:v>소스 / XML / 빌드 산출물</x:v>
      </x:c>
      <x:c r="E18" s="6" t="str">
        <x:v>프로파일 적용, 정상·시험 XML, 디지털 ID·이력 출력, XAdES 서명</x:v>
      </x:c>
      <x:c r="F18" s="6" t="str">
        <x:v>고정된 입력·프로파일·키 조건에서 인수 기준 및 서명 검증 충족</x:v>
      </x:c>
      <x:c r="G18" s="6" t="str">
        <x:v>FR-011 ~ FR-015
FR-017 ~ FR-026
SR-001 ~ SR-003</x:v>
      </x:c>
      <x:c r="H18" s="6" t="n">
        <x:v>18</x:v>
      </x:c>
      <x:c r="I18" s="6" t="str">
        <x:v>기존 구현 재검토</x:v>
      </x:c>
      <x:c r="J18" s="6" t="str">
        <x:v>미작성 또는 요구별 코드·증거 연결 전</x:v>
      </x:c>
      <x:c r="K18" s="6" t="str">
        <x:v>보류 요구는 확정 후 포함</x:v>
      </x:c>
      <x:c r="L18" s="12" t="str"/>
    </x:row>
    <x:row r="19" ht="72" customHeight="1">
      <x:c r="A19" s="11" t="str">
        <x:v>DEL-014</x:v>
      </x:c>
      <x:c r="B19" s="11" t="str">
        <x:v>발행 저장·공개 API 구현물</x:v>
      </x:c>
      <x:c r="C19" s="11" t="str">
        <x:v>구현</x:v>
      </x:c>
      <x:c r="D19" s="11" t="str">
        <x:v>소스 / 설정 / 빌드 산출물</x:v>
      </x:c>
      <x:c r="E19" s="11" t="str">
        <x:v>파일 저장, requestId·revision, 잠금·복구, 공개본 선택, HTTP 제공</x:v>
      </x:c>
      <x:c r="F19" s="11" t="str">
        <x:v>저장/응답 불변조건·실패시 처리·변경 없는 조회를 시험으로 입증</x:v>
      </x:c>
      <x:c r="G19" s="11" t="str">
        <x:v>FR-027 ~ FR-043
SR-007 ~ SR-008
SR-011
NFR-001 ~ NFR-005</x:v>
      </x:c>
      <x:c r="H19" s="11" t="n">
        <x:v>25</x:v>
      </x:c>
      <x:c r="I19" s="11" t="str">
        <x:v>기존 구현 재검토</x:v>
      </x:c>
      <x:c r="J19" s="11" t="str">
        <x:v>미작성 또는 요구별 코드·증거 연결 전</x:v>
      </x:c>
      <x:c r="K19" s="11" t="str">
        <x:v>보류 요구는 확정 후 포함</x:v>
      </x:c>
      <x:c r="L19" s="12" t="str"/>
    </x:row>
    <x:row r="20" ht="57" customHeight="1">
      <x:c r="A20" s="6" t="str">
        <x:v>DEL-015</x:v>
      </x:c>
      <x:c r="B20" s="6" t="str">
        <x:v>소비자 검증 연계 샘플</x:v>
      </x:c>
      <x:c r="C20" s="6" t="str">
        <x:v>연계 구현</x:v>
      </x:c>
      <x:c r="D20" s="6" t="str">
        <x:v>Java 샘플 / 시험 데이터</x:v>
      </x:c>
      <x:c r="E20" s="6" t="str">
        <x:v>검증 입력, 신뢰점 설정, TL 수용/거절, 시점 조회, 판정 출처</x:v>
      </x:c>
      <x:c r="F20" s="6" t="str">
        <x:v>관리 API를 호출하는 독립 소비자에서 정상·오류 결과 재현</x:v>
      </x:c>
      <x:c r="G20" s="6" t="str">
        <x:v>FR-016
FR-047 ~ FR-048
SR-004 ~ SR-006</x:v>
      </x:c>
      <x:c r="H20" s="6" t="n">
        <x:v>6</x:v>
      </x:c>
      <x:c r="I20" s="6" t="str">
        <x:v>기존 구현 재검토</x:v>
      </x:c>
      <x:c r="J20" s="6" t="str">
        <x:v>미작성 또는 요구별 코드·증거 연결 전</x:v>
      </x:c>
      <x:c r="K20" s="6" t="str">
        <x:v>채택된 요구 범위 적용</x:v>
      </x:c>
      <x:c r="L20" s="12" t="str"/>
    </x:row>
    <x:row r="21" ht="44" customHeight="1">
      <x:c r="A21" s="11" t="str">
        <x:v>DEL-016</x:v>
      </x:c>
      <x:c r="B21" s="11" t="str">
        <x:v>운영 확장 구현·배포 패키지</x:v>
      </x:c>
      <x:c r="C21" s="11" t="str">
        <x:v>구현</x:v>
      </x:c>
      <x:c r="D21" s="11" t="str">
        <x:v>소스 / 배포·HSM 설정</x:v>
      </x:c>
      <x:c r="E21" s="11" t="str">
        <x:v>신청·심사, 자동 갱신·수집, HSM, 분리 배포, 권한·감사</x:v>
      </x:c>
      <x:c r="F21" s="11" t="str">
        <x:v>운영 요구 확정 후 구현·연계·복구·권한 시험 및 배포 재현</x:v>
      </x:c>
      <x:c r="G21" s="11" t="str">
        <x:v>FR-049 ~ FR-054
SR-009 ~ SR-010</x:v>
      </x:c>
      <x:c r="H21" s="11" t="n">
        <x:v>8</x:v>
      </x:c>
      <x:c r="I21" s="11" t="str">
        <x:v>보류</x:v>
      </x:c>
      <x:c r="J21" s="11" t="str">
        <x:v>미작성 또는 요구별 코드·증거 연결 전</x:v>
      </x:c>
      <x:c r="K21" s="11" t="str">
        <x:v>범위 확정 후</x:v>
      </x:c>
      <x:c r="L21" s="12" t="str"/>
    </x:row>
    <x:row r="22" ht="57" customHeight="1">
      <x:c r="A22" s="6" t="str">
        <x:v>DEL-017</x:v>
      </x:c>
      <x:c r="B22" s="6" t="str">
        <x:v>요구사항별 시험 명세서</x:v>
      </x:c>
      <x:c r="C22" s="6" t="str">
        <x:v>시험 설계</x:v>
      </x:c>
      <x:c r="D22" s="6" t="str">
        <x:v>XLSX / MD</x:v>
      </x:c>
      <x:c r="E22" s="6" t="str">
        <x:v>TC, 요구ID, 사전조건, 입력, 기대결과, 세부 절차·표본</x:v>
      </x:c>
      <x:c r="F22" s="6" t="str">
        <x:v>70개 TC를 범위별 분리하고 실행 가능한 절차·표본 확정</x:v>
      </x:c>
      <x:c r="G22" s="6" t="str">
        <x:v>FR-001 ~ FR-054
SR-001 ~ SR-011
NFR-001 ~ NFR-005</x:v>
      </x:c>
      <x:c r="H22" s="6" t="n">
        <x:v>70</x:v>
      </x:c>
      <x:c r="I22" s="6" t="str">
        <x:v>초안 작성</x:v>
      </x:c>
      <x:c r="J22" s="6" t="str">
        <x:v>C:/Users/sol74/orca/workspaces/kr-dss/kr-tl/docs/design/poc/tl-management/test-spec.md</x:v>
      </x:c>
      <x:c r="K22" s="6" t="str">
        <x:v>보류 요구는 확정 후 포함</x:v>
      </x:c>
      <x:c r="L22" s="12" t="str"/>
    </x:row>
    <x:row r="23" ht="44" customHeight="1">
      <x:c r="A23" s="11" t="str">
        <x:v>DEL-018</x:v>
      </x:c>
      <x:c r="B23" s="11" t="str">
        <x:v>기능·표준 적합성 시험 결과서</x:v>
      </x:c>
      <x:c r="C23" s="11" t="str">
        <x:v>검증</x:v>
      </x:c>
      <x:c r="D23" s="11" t="str">
        <x:v>결과서 / 로그 / XML / 해시</x:v>
      </x:c>
      <x:c r="E23" s="11" t="str">
        <x:v>기능·HTTP·TL 형식·프로파일 시험별 실제/기대결과, 버전·환경·결함</x:v>
      </x:c>
      <x:c r="F23" s="11" t="str">
        <x:v>실행한 TC에 증거·판정이 있고 미실행·보류를 분리</x:v>
      </x:c>
      <x:c r="G23" s="11" t="str">
        <x:v>FR-001 ~ FR-054</x:v>
      </x:c>
      <x:c r="H23" s="11" t="n">
        <x:v>54</x:v>
      </x:c>
      <x:c r="I23" s="11" t="str">
        <x:v>미작성·시험 미실행</x:v>
      </x:c>
      <x:c r="J23" s="11" t="str">
        <x:v>미작성 또는 요구별 코드·증거 연결 전</x:v>
      </x:c>
      <x:c r="K23" s="11" t="str">
        <x:v>보류 요구는 확정 후 포함</x:v>
      </x:c>
      <x:c r="L23" s="12" t="str"/>
    </x:row>
    <x:row r="24" ht="44" customHeight="1">
      <x:c r="A24" s="6" t="str">
        <x:v>DEL-019</x:v>
      </x:c>
      <x:c r="B24" s="6" t="str">
        <x:v>보안 시험 결과서</x:v>
      </x:c>
      <x:c r="C24" s="6" t="str">
        <x:v>검증</x:v>
      </x:c>
      <x:c r="D24" s="6" t="str">
        <x:v>결과서 / 로그 / 비밀 제거 증거</x:v>
      </x:c>
      <x:c r="E24" s="6" t="str">
        <x:v>서명실패·격리·미지값·키 노출·경로·권한·감사 시험</x:v>
      </x:c>
      <x:c r="F24" s="6" t="str">
        <x:v>강제 주체를 통한 정상·악용·실패시험과 결함 처리 증거</x:v>
      </x:c>
      <x:c r="G24" s="6" t="str">
        <x:v>SR-001 ~ SR-011</x:v>
      </x:c>
      <x:c r="H24" s="6" t="n">
        <x:v>11</x:v>
      </x:c>
      <x:c r="I24" s="6" t="str">
        <x:v>미작성·시험 미실행</x:v>
      </x:c>
      <x:c r="J24" s="6" t="str">
        <x:v>미작성 또는 요구별 코드·증거 연결 전</x:v>
      </x:c>
      <x:c r="K24" s="6" t="str">
        <x:v>보류 요구는 확정 후 포함</x:v>
      </x:c>
      <x:c r="L24" s="12" t="str"/>
    </x:row>
    <x:row r="25" ht="44" customHeight="1">
      <x:c r="A25" s="11" t="str">
        <x:v>DEL-020</x:v>
      </x:c>
      <x:c r="B25" s="11" t="str">
        <x:v>장애 복구·품질 시험 결과서</x:v>
      </x:c>
      <x:c r="C25" s="11" t="str">
        <x:v>검증</x:v>
      </x:c>
      <x:c r="D25" s="11" t="str">
        <x:v>결과서 / 장애 로그 / 측정값</x:v>
      </x:c>
      <x:c r="E25" s="11" t="str">
        <x:v>확정 경계 장애, 재시작, 동시성, 응답 일관성, 부하·복구시간</x:v>
      </x:c>
      <x:c r="F25" s="11" t="str">
        <x:v>확정 목표와 측정 조건에 따라 재현 가능한 실제 결과 제출</x:v>
      </x:c>
      <x:c r="G25" s="11" t="str">
        <x:v>NFR-001 ~ NFR-005</x:v>
      </x:c>
      <x:c r="H25" s="11" t="n">
        <x:v>5</x:v>
      </x:c>
      <x:c r="I25" s="11" t="str">
        <x:v>미작성·시험 미실행</x:v>
      </x:c>
      <x:c r="J25" s="11" t="str">
        <x:v>미작성 또는 요구별 코드·증거 연결 전</x:v>
      </x:c>
      <x:c r="K25" s="11" t="str">
        <x:v>보류 요구는 확정 후 포함</x:v>
      </x:c>
      <x:c r="L25" s="12" t="str"/>
    </x:row>
    <x:row r="26" ht="57" customHeight="1">
      <x:c r="A26" s="6" t="str">
        <x:v>DEL-021</x:v>
      </x:c>
      <x:c r="B26" s="6" t="str">
        <x:v>설치·운영·인계 지침서</x:v>
      </x:c>
      <x:c r="C26" s="6" t="str">
        <x:v>인계</x:v>
      </x:c>
      <x:c r="D26" s="6" t="str">
        <x:v>MD / 실행 스크립트 / 설정</x:v>
      </x:c>
      <x:c r="E26" s="6" t="str">
        <x:v>설치, main 경로, 키 취급, 발행·복구, 백업·보존, 소비자 연계</x:v>
      </x:c>
      <x:c r="F26" s="6" t="str">
        <x:v>새 환경에서 설치·운영·복구 절차를 재현하고 비밀정보 제외</x:v>
      </x:c>
      <x:c r="G26" s="6" t="str">
        <x:v>FR-001 ~ FR-054
SR-001 ~ SR-011
NFR-001 ~ NFR-005</x:v>
      </x:c>
      <x:c r="H26" s="6" t="n">
        <x:v>70</x:v>
      </x:c>
      <x:c r="I26" s="6" t="str">
        <x:v>작성 예정</x:v>
      </x:c>
      <x:c r="J26" s="6" t="str">
        <x:v>미작성 또는 요구별 코드·증거 연결 전</x:v>
      </x:c>
      <x:c r="K26" s="6" t="str">
        <x:v>보류 요구는 확정 후 포함</x:v>
      </x:c>
      <x:c r="L26" s="12" t="str"/>
    </x:row>
    <x:row r="27" ht="57" customHeight="1">
      <x:c r="A27" s="11" t="str">
        <x:v>DEL-022</x:v>
      </x:c>
      <x:c r="B27" s="11" t="str">
        <x:v>근거 문서 목록·원문 보관 기록</x:v>
      </x:c>
      <x:c r="C27" s="11" t="str">
        <x:v>분석 근거</x:v>
      </x:c>
      <x:c r="D27" s="11" t="str">
        <x:v>XLSX / JSON / 원문 파일</x:v>
      </x:c>
      <x:c r="E27" s="11" t="str">
        <x:v>표준·판본·조항·URL·취득시각·해시·적용/예외, 기존 설계 백업</x:v>
      </x:c>
      <x:c r="F27" s="11" t="str">
        <x:v>원문 해시 확인, 부분 확보/미확정 법령 구분, 요구 근거키 연결</x:v>
      </x:c>
      <x:c r="G27" s="11" t="str">
        <x:v>FR-001 ~ FR-054
SR-001 ~ SR-011
NFR-001 ~ NFR-005</x:v>
      </x:c>
      <x:c r="H27" s="11" t="n">
        <x:v>70</x:v>
      </x:c>
      <x:c r="I27" s="11" t="str">
        <x:v>초안 작성</x:v>
      </x:c>
      <x:c r="J27" s="11" t="str">
        <x:v>C:/Users/sol74/orca/workspaces/kr-dss/kr-tl/docs/design/poc/tl-management/sources.md</x:v>
      </x:c>
      <x:c r="K27" s="11" t="str">
        <x:v>보류 요구는 확정 후 포함</x:v>
      </x:c>
      <x:c r="L27" s="12" t="str"/>
    </x:row>
    <x:row r="28" ht="57" customHeight="1">
      <x:c r="A28" s="6" t="str">
        <x:v>DEL-023</x:v>
      </x:c>
      <x:c r="B28" s="6" t="str">
        <x:v>요구사항·산출물 추적표</x:v>
      </x:c>
      <x:c r="C28" s="6" t="str">
        <x:v>추적관리</x:v>
      </x:c>
      <x:c r="D28" s="6" t="str">
        <x:v>XLSX / MD</x:v>
      </x:c>
      <x:c r="E28" s="6" t="str">
        <x:v>요구ID·설계ID·TC·산출물ID·범위·현재 상태·역추적</x:v>
      </x:c>
      <x:c r="F28" s="6" t="str">
        <x:v>70개 요구 모두 산출물과 연결되고 보류/외부 책임 분리</x:v>
      </x:c>
      <x:c r="G28" s="6" t="str">
        <x:v>FR-001 ~ FR-054
SR-001 ~ SR-011
NFR-001 ~ NFR-005</x:v>
      </x:c>
      <x:c r="H28" s="6" t="n">
        <x:v>70</x:v>
      </x:c>
      <x:c r="I28" s="6" t="str">
        <x:v>초안 작성</x:v>
      </x:c>
      <x:c r="J28" s="6" t="str">
        <x:v>C:/Users/sol74/orca/workspaces/kr-dss/kr-tl/docs/design/poc/tl-management/traceability.md</x:v>
      </x:c>
      <x:c r="K28" s="6" t="str">
        <x:v>보류 요구는 확정 후 포함</x:v>
      </x:c>
      <x:c r="L28" s="12" t="str"/>
    </x:row>
    <x:row r="29" ht="57" customHeight="1">
      <x:c r="A29" s="11" t="str">
        <x:v>DEL-024</x:v>
      </x:c>
      <x:c r="B29" s="11" t="str">
        <x:v>최종 인수·검증 보고서</x:v>
      </x:c>
      <x:c r="C29" s="11" t="str">
        <x:v>인수</x:v>
      </x:c>
      <x:c r="D29" s="11" t="str">
        <x:v>보고서 / 증거목록</x:v>
      </x:c>
      <x:c r="E29" s="11" t="str">
        <x:v>요구별 최종 판정, 실행 증거, 제외·보류, 잔여 결함·운영 조건</x:v>
      </x:c>
      <x:c r="F29" s="11" t="str">
        <x:v>승인 범위의 필수 요구를 증거로 판정하고 미충족 사항 명시</x:v>
      </x:c>
      <x:c r="G29" s="11" t="str">
        <x:v>FR-001 ~ FR-054
SR-001 ~ SR-011
NFR-001 ~ NFR-005</x:v>
      </x:c>
      <x:c r="H29" s="11" t="n">
        <x:v>70</x:v>
      </x:c>
      <x:c r="I29" s="11" t="str">
        <x:v>미작성</x:v>
      </x:c>
      <x:c r="J29" s="11" t="str">
        <x:v>미작성 또는 요구별 코드·증거 연결 전</x:v>
      </x:c>
      <x:c r="K29" s="11" t="str">
        <x:v>보류 요구는 확정 후 포함</x:v>
      </x:c>
      <x:c r="L29" s="12" t="str"/>
    </x:row>
  </x:sheetData>
  <x:pageMargins left="0.7" right="0.7" top="0.75" bottom="0.75" header="0.3" footer="0.3"/>
  <x:tableParts count="1">
    <x:tablePart xmlns:r="http://schemas.openxmlformats.org/officeDocument/2006/relationships" r:id="Raa506c5e84bd45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1" hidden="0" customWidth="1"/>
    <x:col min="4" max="4" width="14" hidden="0" customWidth="1"/>
    <x:col min="5" max="5" width="42" hidden="0" customWidth="1"/>
    <x:col min="6" max="6" width="56" hidden="0" customWidth="1"/>
    <x:col min="7" max="7" width="62" hidden="0" customWidth="1"/>
    <x:col min="8" max="8" width="14" hidden="0" customWidth="1"/>
    <x:col min="9" max="9" width="20" hidden="0" customWidth="1"/>
    <x:col min="10" max="10" width="20" hidden="0" customWidth="1"/>
    <x:col min="11" max="11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3" t="str">
        <x:v>요구사항별 검증과 제출 증거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4" t="str">
        <x:v>70개 TC는 모두 미실행. 시험 결과서에는 대상 버전·환경·입력·실제 결과·증거 경로를 기록한다.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0" t="str">
        <x:v>시험 ID</x:v>
      </x:c>
      <x:c r="B5" s="10" t="str">
        <x:v>요구 ID</x:v>
      </x:c>
      <x:c r="C5" s="10" t="str">
        <x:v>시험명</x:v>
      </x:c>
      <x:c r="D5" s="10" t="str">
        <x:v>종류</x:v>
      </x:c>
      <x:c r="E5" s="10" t="str">
        <x:v>사전 조건</x:v>
      </x:c>
      <x:c r="F5" s="10" t="str">
        <x:v>입력·시나리오</x:v>
      </x:c>
      <x:c r="G5" s="10" t="str">
        <x:v>기대 결과</x:v>
      </x:c>
      <x:c r="H5" s="10" t="str">
        <x:v>시험 상태</x:v>
      </x:c>
      <x:c r="I5" s="10" t="str">
        <x:v>결과 산출물 ID</x:v>
      </x:c>
      <x:c r="J5" s="10" t="str">
        <x:v>현재 증거</x:v>
      </x:c>
      <x:c r="K5" s="10" t="str">
        <x:v>비고</x:v>
      </x:c>
    </x:row>
    <x:row r="6" ht="44" customHeight="1">
      <x:c r="A6" s="6" t="str">
        <x:v>TC-001</x:v>
      </x:c>
      <x:c r="B6" s="6" t="str">
        <x:v>FR-001</x:v>
      </x:c>
      <x:c r="C6" s="6" t="str">
        <x:v>목록 운영자 관리 확인</x:v>
      </x:c>
      <x:c r="D6" s="6" t="str">
        <x:v>통합</x:v>
      </x:c>
      <x:c r="E6" s="6" t="str">
        <x:v>해당 프로파일·표본 확보; 보류 범위는 정책 확정 후</x:v>
      </x:c>
      <x:c r="F6" s="6" t="str">
        <x:v>기존 목록에서 운영자 명칭을 변경하고 재조회</x:v>
      </x:c>
      <x:c r="G6" s="6" t="str">
        <x:v>저장 후 재조회한 각 필드가 입력값과 같고 기존 listId는 유지된다.</x:v>
      </x:c>
      <x:c r="H6" s="6" t="str">
        <x:v>미실행</x:v>
      </x:c>
      <x:c r="I6" s="6" t="str">
        <x:v>DEL-018</x:v>
      </x:c>
      <x:c r="J6" s="6" t="str">
        <x:v>미확보</x:v>
      </x:c>
      <x:c r="K6" s="6" t="str">
        <x:v>요구사항 검토 초안; 실행 증거 없음</x:v>
      </x:c>
    </x:row>
    <x:row r="7" ht="44" customHeight="1">
      <x:c r="A7" s="11" t="str">
        <x:v>TC-002</x:v>
      </x:c>
      <x:c r="B7" s="11" t="str">
        <x:v>FR-002</x:v>
      </x:c>
      <x:c r="C7" s="11" t="str">
        <x:v>사업자 등록 확인</x:v>
      </x:c>
      <x:c r="D7" s="11" t="str">
        <x:v>통합</x:v>
      </x:c>
      <x:c r="E7" s="11" t="str">
        <x:v>해당 프로파일·표본 확보; 보류 범위는 정책 확정 후</x:v>
      </x:c>
      <x:c r="F7" s="11" t="str">
        <x:v>사업자 2개를 순서대로 등록</x:v>
      </x:c>
      <x:c r="G7" s="11" t="str">
        <x:v>신규 사업자가 고유 providerId로 조회되고 다른 사업자의 정보는 변경되지 않는다.</x:v>
      </x:c>
      <x:c r="H7" s="11" t="str">
        <x:v>미실행</x:v>
      </x:c>
      <x:c r="I7" s="11" t="str">
        <x:v>DEL-018</x:v>
      </x:c>
      <x:c r="J7" s="11" t="str">
        <x:v>미확보</x:v>
      </x:c>
      <x:c r="K7" s="11" t="str">
        <x:v>요구사항 검토 초안; 실행 증거 없음</x:v>
      </x:c>
    </x:row>
    <x:row r="8" ht="44" customHeight="1">
      <x:c r="A8" s="6" t="str">
        <x:v>TC-003</x:v>
      </x:c>
      <x:c r="B8" s="6" t="str">
        <x:v>FR-003</x:v>
      </x:c>
      <x:c r="C8" s="6" t="str">
        <x:v>사업자 정보 변경 확인</x:v>
      </x:c>
      <x:c r="D8" s="6" t="str">
        <x:v>통합</x:v>
      </x:c>
      <x:c r="E8" s="6" t="str">
        <x:v>해당 프로파일·표본 확보; 보류 범위는 정책 확정 후</x:v>
      </x:c>
      <x:c r="F8" s="6" t="str">
        <x:v>서비스가 연결된 사업자의 명칭 변경</x:v>
      </x:c>
      <x:c r="G8" s="6" t="str">
        <x:v>변경한 필드가 저장되고 연결된 serviceId가 유지된다.</x:v>
      </x:c>
      <x:c r="H8" s="6" t="str">
        <x:v>미실행</x:v>
      </x:c>
      <x:c r="I8" s="6" t="str">
        <x:v>DEL-018</x:v>
      </x:c>
      <x:c r="J8" s="6" t="str">
        <x:v>미확보</x:v>
      </x:c>
      <x:c r="K8" s="6" t="str">
        <x:v>요구사항 검토 초안; 실행 증거 없음</x:v>
      </x:c>
    </x:row>
    <x:row r="9" ht="44" customHeight="1">
      <x:c r="A9" s="11" t="str">
        <x:v>TC-004</x:v>
      </x:c>
      <x:c r="B9" s="11" t="str">
        <x:v>FR-004</x:v>
      </x:c>
      <x:c r="C9" s="11" t="str">
        <x:v>사업자 삭제 정책 확인</x:v>
      </x:c>
      <x:c r="D9" s="11" t="str">
        <x:v>검토</x:v>
      </x:c>
      <x:c r="E9" s="11" t="str">
        <x:v>해당 프로파일·표본 확보; 보류 범위는 정책 확정 후</x:v>
      </x:c>
      <x:c r="F9" s="11" t="str">
        <x:v>미발행 사업자와 발행 이력 보유 사업자 각각 삭제 요청</x:v>
      </x:c>
      <x:c r="G9" s="11" t="str">
        <x:v>OQ-004에서 확정한 삭제 가능 조건·거부 결과를 만족하고 과거 서명 XML은 변경되지 않는다.</x:v>
      </x:c>
      <x:c r="H9" s="11" t="str">
        <x:v>미실행</x:v>
      </x:c>
      <x:c r="I9" s="11" t="str">
        <x:v>DEL-018</x:v>
      </x:c>
      <x:c r="J9" s="11" t="str">
        <x:v>미확보</x:v>
      </x:c>
      <x:c r="K9" s="11" t="str">
        <x:v>요구사항 검토 초안; 실행 증거 없음</x:v>
      </x:c>
    </x:row>
    <x:row r="10" ht="44" customHeight="1">
      <x:c r="A10" s="6" t="str">
        <x:v>TC-005</x:v>
      </x:c>
      <x:c r="B10" s="6" t="str">
        <x:v>FR-005</x:v>
      </x:c>
      <x:c r="C10" s="6" t="str">
        <x:v>서비스 등록 확인</x:v>
      </x:c>
      <x:c r="D10" s="6" t="str">
        <x:v>통합</x:v>
      </x:c>
      <x:c r="E10" s="6" t="str">
        <x:v>해당 프로파일·표본 확보; 보류 범위는 정책 확정 후</x:v>
      </x:c>
      <x:c r="F10" s="6" t="str">
        <x:v>CA 서비스 정상 입력과 인증서 누락 입력</x:v>
      </x:c>
      <x:c r="G10" s="6" t="str">
        <x:v>고유 serviceId가 부여되고 필수 디지털 ID 없는 요청은 저장되지 않는다.</x:v>
      </x:c>
      <x:c r="H10" s="6" t="str">
        <x:v>미실행</x:v>
      </x:c>
      <x:c r="I10" s="6" t="str">
        <x:v>DEL-018</x:v>
      </x:c>
      <x:c r="J10" s="6" t="str">
        <x:v>미확보</x:v>
      </x:c>
      <x:c r="K10" s="6" t="str">
        <x:v>요구사항 검토 초안; 실행 증거 없음</x:v>
      </x:c>
    </x:row>
    <x:row r="11" ht="44" customHeight="1">
      <x:c r="A11" s="11" t="str">
        <x:v>TC-006</x:v>
      </x:c>
      <x:c r="B11" s="11" t="str">
        <x:v>FR-006</x:v>
      </x:c>
      <x:c r="C11" s="11" t="str">
        <x:v>CA 신뢰점 레벨 확인</x:v>
      </x:c>
      <x:c r="D11" s="11" t="str">
        <x:v>통합</x:v>
      </x:c>
      <x:c r="E11" s="11" t="str">
        <x:v>해당 프로파일·표본 확보; 보류 범위는 정책 확정 후</x:v>
      </x:c>
      <x:c r="F11" s="11" t="str">
        <x:v>CA 0·1, OCSP level=1, TSA level=0 입력</x:v>
      </x:c>
      <x:c r="G11" s="11" t="str">
        <x:v>CA는 0 또는 1로 저장되고 OCSP·TSA에 level을 넣은 입력은 거부된다.</x:v>
      </x:c>
      <x:c r="H11" s="11" t="str">
        <x:v>미실행</x:v>
      </x:c>
      <x:c r="I11" s="11" t="str">
        <x:v>DEL-018</x:v>
      </x:c>
      <x:c r="J11" s="11" t="str">
        <x:v>미확보</x:v>
      </x:c>
      <x:c r="K11" s="11" t="str">
        <x:v>요구사항 검토 초안; 실행 증거 없음</x:v>
      </x:c>
    </x:row>
    <x:row r="12" ht="44" customHeight="1">
      <x:c r="A12" s="6" t="str">
        <x:v>TC-007</x:v>
      </x:c>
      <x:c r="B12" s="6" t="str">
        <x:v>FR-007</x:v>
      </x:c>
      <x:c r="C12" s="6" t="str">
        <x:v>서비스 정보 변경 이력 확인</x:v>
      </x:c>
      <x:c r="D12" s="6" t="str">
        <x:v>통합</x:v>
      </x:c>
      <x:c r="E12" s="6" t="str">
        <x:v>해당 프로파일·표본 확보; 보류 범위는 정책 확정 후</x:v>
      </x:c>
      <x:c r="F12" s="6" t="str">
        <x:v>기준 발행 후 분야를 변경하여 다시 발행</x:v>
      </x:c>
      <x:c r="G12" s="6" t="str">
        <x:v>변경 전 구간의 유형·분야·레벨·식별 정보가 보존되고 새 구간에만 변경값이 적용된다.</x:v>
      </x:c>
      <x:c r="H12" s="6" t="str">
        <x:v>미실행</x:v>
      </x:c>
      <x:c r="I12" s="6" t="str">
        <x:v>DEL-018</x:v>
      </x:c>
      <x:c r="J12" s="6" t="str">
        <x:v>미확보</x:v>
      </x:c>
      <x:c r="K12" s="6" t="str">
        <x:v>요구사항 검토 초안; 실행 증거 없음</x:v>
      </x:c>
    </x:row>
    <x:row r="13" ht="44" customHeight="1">
      <x:c r="A13" s="11" t="str">
        <x:v>TC-008</x:v>
      </x:c>
      <x:c r="B13" s="11" t="str">
        <x:v>FR-008</x:v>
      </x:c>
      <x:c r="C13" s="11" t="str">
        <x:v>업무 상태 전이 확인</x:v>
      </x:c>
      <x:c r="D13" s="11" t="str">
        <x:v>통합</x:v>
      </x:c>
      <x:c r="E13" s="11" t="str">
        <x:v>해당 프로파일·표본 확보; 보류 범위는 정책 확정 후</x:v>
      </x:c>
      <x:c r="F13" s="11" t="str">
        <x:v>인정·정지·철회 상태별 전이 요청</x:v>
      </x:c>
      <x:c r="G13" s="11" t="str">
        <x:v>각 허용 전이가 저장되고 철회 후 동일 서비스 재인정은 지원되지 않음을 반환한다.</x:v>
      </x:c>
      <x:c r="H13" s="11" t="str">
        <x:v>미실행</x:v>
      </x:c>
      <x:c r="I13" s="11" t="str">
        <x:v>DEL-018</x:v>
      </x:c>
      <x:c r="J13" s="11" t="str">
        <x:v>미확보</x:v>
      </x:c>
      <x:c r="K13" s="11" t="str">
        <x:v>요구사항 검토 초안; 실행 증거 없음</x:v>
      </x:c>
    </x:row>
    <x:row r="14" ht="44" customHeight="1">
      <x:c r="A14" s="6" t="str">
        <x:v>TC-009</x:v>
      </x:c>
      <x:c r="B14" s="6" t="str">
        <x:v>FR-009</x:v>
      </x:c>
      <x:c r="C14" s="6" t="str">
        <x:v>신청 상태와 인정 상태 분리 확인</x:v>
      </x:c>
      <x:c r="D14" s="6" t="str">
        <x:v>통합</x:v>
      </x:c>
      <x:c r="E14" s="6" t="str">
        <x:v>해당 프로파일·표본 확보; 보류 범위는 정책 확정 후</x:v>
      </x:c>
      <x:c r="F14" s="6" t="str">
        <x:v>서비스 상태에 접수·심사·반려 입력</x:v>
      </x:c>
      <x:c r="G14" s="6" t="str">
        <x:v>신청 상태를 서비스 상태로 입력하면 거부하며 기존 인정 상태가 유지된다.</x:v>
      </x:c>
      <x:c r="H14" s="6" t="str">
        <x:v>미실행</x:v>
      </x:c>
      <x:c r="I14" s="6" t="str">
        <x:v>DEL-018</x:v>
      </x:c>
      <x:c r="J14" s="6" t="str">
        <x:v>미확보</x:v>
      </x:c>
      <x:c r="K14" s="6" t="str">
        <x:v>요구사항 검토 초안; 실행 증거 없음</x:v>
      </x:c>
    </x:row>
    <x:row r="15" ht="44" customHeight="1">
      <x:c r="A15" s="11" t="str">
        <x:v>TC-010</x:v>
      </x:c>
      <x:c r="B15" s="11" t="str">
        <x:v>FR-010</x:v>
      </x:c>
      <x:c r="C15" s="11" t="str">
        <x:v>서비스 삭제 정책 확인</x:v>
      </x:c>
      <x:c r="D15" s="11" t="str">
        <x:v>검토</x:v>
      </x:c>
      <x:c r="E15" s="11" t="str">
        <x:v>해당 프로파일·표본 확보; 보류 범위는 정책 확정 후</x:v>
      </x:c>
      <x:c r="F15" s="11" t="str">
        <x:v>미발행 서비스와 인정 발행된 서비스 삭제 요청</x:v>
      </x:c>
      <x:c r="G15" s="11" t="str">
        <x:v>OQ-004의 조건에 따라 삭제 또는 거부하고 기발행 이력과 XML은 유지된다.</x:v>
      </x:c>
      <x:c r="H15" s="11" t="str">
        <x:v>미실행</x:v>
      </x:c>
      <x:c r="I15" s="11" t="str">
        <x:v>DEL-018</x:v>
      </x:c>
      <x:c r="J15" s="11" t="str">
        <x:v>미확보</x:v>
      </x:c>
      <x:c r="K15" s="11" t="str">
        <x:v>요구사항 검토 초안; 실행 증거 없음</x:v>
      </x:c>
    </x:row>
    <x:row r="16" ht="44" customHeight="1">
      <x:c r="A16" s="6" t="str">
        <x:v>TC-011</x:v>
      </x:c>
      <x:c r="B16" s="6" t="str">
        <x:v>FR-011</x:v>
      </x:c>
      <x:c r="C16" s="6" t="str">
        <x:v>인증서 검사 확인</x:v>
      </x:c>
      <x:c r="D16" s="6" t="str">
        <x:v>통합</x:v>
      </x:c>
      <x:c r="E16" s="6" t="str">
        <x:v>해당 프로파일·표본 확보; 보류 범위는 정책 확정 후</x:v>
      </x:c>
      <x:c r="F16" s="6" t="str">
        <x:v>같은 인증서의 PEM·DER와 절단한 DER 입력</x:v>
      </x:c>
      <x:c r="G16" s="6" t="str">
        <x:v>동일 인증서의 PEM·DER 입력이 같은 정보로 표시되고 파싱 불가 입력은 저장되지 않는다.</x:v>
      </x:c>
      <x:c r="H16" s="6" t="str">
        <x:v>미실행</x:v>
      </x:c>
      <x:c r="I16" s="6" t="str">
        <x:v>DEL-018</x:v>
      </x:c>
      <x:c r="J16" s="6" t="str">
        <x:v>미확보</x:v>
      </x:c>
      <x:c r="K16" s="6" t="str">
        <x:v>요구사항 검토 초안; 실행 증거 없음</x:v>
      </x:c>
    </x:row>
    <x:row r="17" ht="44" customHeight="1">
      <x:c r="A17" s="11" t="str">
        <x:v>TC-012</x:v>
      </x:c>
      <x:c r="B17" s="11" t="str">
        <x:v>FR-012</x:v>
      </x:c>
      <x:c r="C17" s="11" t="str">
        <x:v>같은 키 인증서 갱신 확인</x:v>
      </x:c>
      <x:c r="D17" s="11" t="str">
        <x:v>통합</x:v>
      </x:c>
      <x:c r="E17" s="11" t="str">
        <x:v>해당 프로파일·표본 확보; 보류 범위는 정책 확정 후</x:v>
      </x:c>
      <x:c r="F17" s="11" t="str">
        <x:v>동일 키·Subject로 재발급한 인증서 추가</x:v>
      </x:c>
      <x:c r="G17" s="11" t="str">
        <x:v>serviceId와 상태 시작 시각이 유지되고 이력 항목 수가 증가하지 않는다.</x:v>
      </x:c>
      <x:c r="H17" s="11" t="str">
        <x:v>미실행</x:v>
      </x:c>
      <x:c r="I17" s="11" t="str">
        <x:v>DEL-018</x:v>
      </x:c>
      <x:c r="J17" s="11" t="str">
        <x:v>미확보</x:v>
      </x:c>
      <x:c r="K17" s="11" t="str">
        <x:v>요구사항 검토 초안; 실행 증거 없음</x:v>
      </x:c>
    </x:row>
    <x:row r="18" ht="44" customHeight="1">
      <x:c r="A18" s="6" t="str">
        <x:v>TC-013</x:v>
      </x:c>
      <x:c r="B18" s="6" t="str">
        <x:v>FR-013</x:v>
      </x:c>
      <x:c r="C18" s="6" t="str">
        <x:v>새 키 서비스 분리 확인</x:v>
      </x:c>
      <x:c r="D18" s="6" t="str">
        <x:v>통합</x:v>
      </x:c>
      <x:c r="E18" s="6" t="str">
        <x:v>해당 프로파일·표본 확보; 보류 범위는 정책 확정 후</x:v>
      </x:c>
      <x:c r="F18" s="6" t="str">
        <x:v>동일 명칭·다른 공개키의 인증서 등록</x:v>
      </x:c>
      <x:c r="G18" s="6" t="str">
        <x:v>기존 서비스와 다른 serviceId로 등록되고 새 항목에 이전 서비스 이력을 복제하지 않는다.</x:v>
      </x:c>
      <x:c r="H18" s="6" t="str">
        <x:v>미실행</x:v>
      </x:c>
      <x:c r="I18" s="6" t="str">
        <x:v>DEL-018</x:v>
      </x:c>
      <x:c r="J18" s="6" t="str">
        <x:v>미확보</x:v>
      </x:c>
      <x:c r="K18" s="6" t="str">
        <x:v>요구사항 검토 초안; 실행 증거 없음</x:v>
      </x:c>
    </x:row>
    <x:row r="19" ht="44" customHeight="1">
      <x:c r="A19" s="11" t="str">
        <x:v>TC-014</x:v>
      </x:c>
      <x:c r="B19" s="11" t="str">
        <x:v>FR-014</x:v>
      </x:c>
      <x:c r="C19" s="11" t="str">
        <x:v>현재 디지털 ID 출력 확인</x:v>
      </x:c>
      <x:c r="D19" s="11" t="str">
        <x:v>통합</x:v>
      </x:c>
      <x:c r="E19" s="11" t="str">
        <x:v>해당 프로파일·표본 확보; 보류 범위는 정책 확정 후</x:v>
      </x:c>
      <x:c r="F19" s="11" t="str">
        <x:v>동일 키 인증서 2개와 서로 다른 키 인증서 조합</x:v>
      </x:c>
      <x:c r="G19" s="11" t="str">
        <x:v>현재 인증서들이 동일 공개키·Subject를 나타내며 서로 다른 키의 인증서 혼합은 거부된다.</x:v>
      </x:c>
      <x:c r="H19" s="11" t="str">
        <x:v>미실행</x:v>
      </x:c>
      <x:c r="I19" s="11" t="str">
        <x:v>DEL-018</x:v>
      </x:c>
      <x:c r="J19" s="11" t="str">
        <x:v>미확보</x:v>
      </x:c>
      <x:c r="K19" s="11" t="str">
        <x:v>요구사항 검토 초안; 실행 증거 없음</x:v>
      </x:c>
    </x:row>
    <x:row r="20" ht="44" customHeight="1">
      <x:c r="A20" s="6" t="str">
        <x:v>TC-015</x:v>
      </x:c>
      <x:c r="B20" s="6" t="str">
        <x:v>FR-015</x:v>
      </x:c>
      <x:c r="C20" s="6" t="str">
        <x:v>이력 디지털 ID 출력 확인</x:v>
      </x:c>
      <x:c r="D20" s="6" t="str">
        <x:v>통합</x:v>
      </x:c>
      <x:c r="E20" s="6" t="str">
        <x:v>해당 프로파일·표본 확보; 보류 범위는 정책 확정 후</x:v>
      </x:c>
      <x:c r="F20" s="6" t="str">
        <x:v>상태가 2회 변경된 서비스 XML 검사</x:v>
      </x:c>
      <x:c r="G20" s="6" t="str">
        <x:v>모든 이력 항목에 X509SKI가 있고 이력 하위 X509Certificate는 0개다.</x:v>
      </x:c>
      <x:c r="H20" s="6" t="str">
        <x:v>미실행</x:v>
      </x:c>
      <x:c r="I20" s="6" t="str">
        <x:v>DEL-018</x:v>
      </x:c>
      <x:c r="J20" s="6" t="str">
        <x:v>미확보</x:v>
      </x:c>
      <x:c r="K20" s="6" t="str">
        <x:v>요구사항 검토 초안; 실행 증거 없음</x:v>
      </x:c>
    </x:row>
    <x:row r="21" ht="44" customHeight="1">
      <x:c r="A21" s="11" t="str">
        <x:v>TC-016</x:v>
      </x:c>
      <x:c r="B21" s="11" t="str">
        <x:v>FR-016</x:v>
      </x:c>
      <x:c r="C21" s="11" t="str">
        <x:v>시간 구간 조회 확인</x:v>
      </x:c>
      <x:c r="D21" s="11" t="str">
        <x:v>통합</x:v>
      </x:c>
      <x:c r="E21" s="11" t="str">
        <x:v>해당 프로파일·표본 확보; 보류 범위는 정책 확정 후</x:v>
      </x:c>
      <x:c r="F21" s="11" t="str">
        <x:v>t0 인정·t1 정지·t2 복원에서 경계와 최초 이전 조회</x:v>
      </x:c>
      <x:c r="G21" s="11" t="str">
        <x:v>경계 직전은 이전 상태, 경계 시각은 새 상태, 최초 시작 전은 근거 없음으로 반환한다.</x:v>
      </x:c>
      <x:c r="H21" s="11" t="str">
        <x:v>미실행</x:v>
      </x:c>
      <x:c r="I21" s="11" t="str">
        <x:v>DEL-018</x:v>
      </x:c>
      <x:c r="J21" s="11" t="str">
        <x:v>미확보</x:v>
      </x:c>
      <x:c r="K21" s="11" t="str">
        <x:v>요구사항 검토 초안; 실행 증거 없음</x:v>
      </x:c>
    </x:row>
    <x:row r="22" ht="44" customHeight="1">
      <x:c r="A22" s="6" t="str">
        <x:v>TC-017</x:v>
      </x:c>
      <x:c r="B22" s="6" t="str">
        <x:v>FR-017</x:v>
      </x:c>
      <x:c r="C22" s="6" t="str">
        <x:v>단순 재발행의 이력 유지 확인</x:v>
      </x:c>
      <x:c r="D22" s="6" t="str">
        <x:v>통합</x:v>
      </x:c>
      <x:c r="E22" s="6" t="str">
        <x:v>해당 프로파일·표본 확보; 보류 범위는 정책 확정 후</x:v>
      </x:c>
      <x:c r="F22" s="6" t="str">
        <x:v>정상 발행본을 정보 변경 없이 재발행</x:v>
      </x:c>
      <x:c r="G22" s="6" t="str">
        <x:v>재발행 전후 서비스 정보·시작 시각·이력 수가 동일하다.</x:v>
      </x:c>
      <x:c r="H22" s="6" t="str">
        <x:v>미실행</x:v>
      </x:c>
      <x:c r="I22" s="6" t="str">
        <x:v>DEL-018</x:v>
      </x:c>
      <x:c r="J22" s="6" t="str">
        <x:v>미확보</x:v>
      </x:c>
      <x:c r="K22" s="6" t="str">
        <x:v>요구사항 검토 초안; 실행 증거 없음</x:v>
      </x:c>
    </x:row>
    <x:row r="23" ht="44" customHeight="1">
      <x:c r="A23" s="11" t="str">
        <x:v>TC-018</x:v>
      </x:c>
      <x:c r="B23" s="11" t="str">
        <x:v>FR-018</x:v>
      </x:c>
      <x:c r="C23" s="11" t="str">
        <x:v>형식 버전 출력 확인</x:v>
      </x:c>
      <x:c r="D23" s="11" t="str">
        <x:v>통합</x:v>
      </x:c>
      <x:c r="E23" s="11" t="str">
        <x:v>해당 프로파일·표본 확보; 보류 범위는 정책 확정 후</x:v>
      </x:c>
      <x:c r="F23" s="11" t="str">
        <x:v>프로파일 버전 1, 발행 순번 12인 XML 검사</x:v>
      </x:c>
      <x:c r="G23" s="11" t="str">
        <x:v>XML 형식 버전이 6이며 발행 순번·프로파일 버전과 별도 필드다.</x:v>
      </x:c>
      <x:c r="H23" s="11" t="str">
        <x:v>미실행</x:v>
      </x:c>
      <x:c r="I23" s="11" t="str">
        <x:v>DEL-018</x:v>
      </x:c>
      <x:c r="J23" s="11" t="str">
        <x:v>미확보</x:v>
      </x:c>
      <x:c r="K23" s="11" t="str">
        <x:v>요구사항 검토 초안; 실행 증거 없음</x:v>
      </x:c>
    </x:row>
    <x:row r="24" ht="44" customHeight="1">
      <x:c r="A24" s="6" t="str">
        <x:v>TC-019</x:v>
      </x:c>
      <x:c r="B24" s="6" t="str">
        <x:v>FR-019</x:v>
      </x:c>
      <x:c r="C24" s="6" t="str">
        <x:v>정상 순번 증가 확인</x:v>
      </x:c>
      <x:c r="D24" s="6" t="str">
        <x:v>통합</x:v>
      </x:c>
      <x:c r="E24" s="6" t="str">
        <x:v>해당 프로파일·표본 확보; 보류 범위는 정책 확정 후</x:v>
      </x:c>
      <x:c r="F24" s="6" t="str">
        <x:v>BASELINE 1, TRIAL 999 생성 후 정상 권장값 조회</x:v>
      </x:c>
      <x:c r="G24" s="6" t="str">
        <x:v>첫 BASELINE=1, 다음 권장값은 직전 BASELINE+1이고 TRIAL 최대값의 영향을 받지 않는다.</x:v>
      </x:c>
      <x:c r="H24" s="6" t="str">
        <x:v>미실행</x:v>
      </x:c>
      <x:c r="I24" s="6" t="str">
        <x:v>DEL-018</x:v>
      </x:c>
      <x:c r="J24" s="6" t="str">
        <x:v>미확보</x:v>
      </x:c>
      <x:c r="K24" s="6" t="str">
        <x:v>요구사항 검토 초안; 실행 증거 없음</x:v>
      </x:c>
    </x:row>
    <x:row r="25" ht="44" customHeight="1">
      <x:c r="A25" s="11" t="str">
        <x:v>TC-020</x:v>
      </x:c>
      <x:c r="B25" s="11" t="str">
        <x:v>FR-020</x:v>
      </x:c>
      <x:c r="C25" s="11" t="str">
        <x:v>이력 보존 값 확인</x:v>
      </x:c>
      <x:c r="D25" s="11" t="str">
        <x:v>통합</x:v>
      </x:c>
      <x:c r="E25" s="11" t="str">
        <x:v>해당 프로파일·표본 확보; 보류 범위는 정책 확정 후</x:v>
      </x:c>
      <x:c r="F25" s="11" t="str">
        <x:v>발행 XML과 운영자 입력 항목 검사</x:v>
      </x:c>
      <x:c r="G25" s="11" t="str">
        <x:v>XML 값이 65535이며 화면 편집으로 축소할 수 없다.</x:v>
      </x:c>
      <x:c r="H25" s="11" t="str">
        <x:v>미실행</x:v>
      </x:c>
      <x:c r="I25" s="11" t="str">
        <x:v>DEL-018</x:v>
      </x:c>
      <x:c r="J25" s="11" t="str">
        <x:v>미확보</x:v>
      </x:c>
      <x:c r="K25" s="11" t="str">
        <x:v>요구사항 검토 초안; 실행 증거 없음</x:v>
      </x:c>
    </x:row>
    <x:row r="26" ht="44" customHeight="1">
      <x:c r="A26" s="6" t="str">
        <x:v>TC-021</x:v>
      </x:c>
      <x:c r="B26" s="6" t="str">
        <x:v>FR-021</x:v>
      </x:c>
      <x:c r="C26" s="6" t="str">
        <x:v>발행·갱신 시각 확인</x:v>
      </x:c>
      <x:c r="D26" s="6" t="str">
        <x:v>통합</x:v>
      </x:c>
      <x:c r="E26" s="6" t="str">
        <x:v>해당 프로파일·표본 확보; 보류 범위는 정책 확정 후</x:v>
      </x:c>
      <x:c r="F26" s="6" t="str">
        <x:v>정상값·역전값·6개월 초과값 입력</x:v>
      </x:c>
      <x:c r="G26" s="6" t="str">
        <x:v>정상값은 issuedAt보다 nextUpdate가 늦고 최대 간격은 달력 6개월 이내다. 위반값은 정상 BASELINE으로 분류되지 않는다.</x:v>
      </x:c>
      <x:c r="H26" s="6" t="str">
        <x:v>미실행</x:v>
      </x:c>
      <x:c r="I26" s="6" t="str">
        <x:v>DEL-018</x:v>
      </x:c>
      <x:c r="J26" s="6" t="str">
        <x:v>미확보</x:v>
      </x:c>
      <x:c r="K26" s="6" t="str">
        <x:v>요구사항 검토 초안; 실행 증거 없음</x:v>
      </x:c>
    </x:row>
    <x:row r="27" ht="44" customHeight="1">
      <x:c r="A27" s="11" t="str">
        <x:v>TC-022</x:v>
      </x:c>
      <x:c r="B27" s="11" t="str">
        <x:v>FR-022</x:v>
      </x:c>
      <x:c r="C27" s="11" t="str">
        <x:v>국내 목록 유형 URI 확인</x:v>
      </x:c>
      <x:c r="D27" s="11" t="str">
        <x:v>통합</x:v>
      </x:c>
      <x:c r="E27" s="11" t="str">
        <x:v>해당 프로파일·표본 확보; 보류 범위는 정책 확정 후</x:v>
      </x:c>
      <x:c r="F27" s="11" t="str">
        <x:v>전체 TSLType URI와 SchemeTerritory 매핑 검토</x:v>
      </x:c>
      <x:c r="G27" s="11" t="str">
        <x:v>프로파일에 전체 URI와 territory=KR의 대응을 기록하고 단순 문자열 KRlist만으로 적합성을 선언하지 않는다.</x:v>
      </x:c>
      <x:c r="H27" s="11" t="str">
        <x:v>미실행</x:v>
      </x:c>
      <x:c r="I27" s="11" t="str">
        <x:v>DEL-018</x:v>
      </x:c>
      <x:c r="J27" s="11" t="str">
        <x:v>미확보</x:v>
      </x:c>
      <x:c r="K27" s="11" t="str">
        <x:v>요구사항 검토 초안; 실행 증거 없음</x:v>
      </x:c>
    </x:row>
    <x:row r="28" ht="44" customHeight="1">
      <x:c r="A28" s="6" t="str">
        <x:v>TC-023</x:v>
      </x:c>
      <x:c r="B28" s="6" t="str">
        <x:v>FR-023</x:v>
      </x:c>
      <x:c r="C28" s="6" t="str">
        <x:v>상태·유형 URI 프로파일 확인</x:v>
      </x:c>
      <x:c r="D28" s="6" t="str">
        <x:v>통합</x:v>
      </x:c>
      <x:c r="E28" s="6" t="str">
        <x:v>해당 프로파일·표본 확보; 보류 범위는 정책 확정 후</x:v>
      </x:c>
      <x:c r="F28" s="6" t="str">
        <x:v>프로파일과 출력 XML·화면 표시 대조</x:v>
      </x:c>
      <x:c r="G28" s="6" t="str">
        <x:v>PoC urn:example 값에는 임시 표시가 있고 국가 공표 URI로 표시하지 않는다.</x:v>
      </x:c>
      <x:c r="H28" s="6" t="str">
        <x:v>미실행</x:v>
      </x:c>
      <x:c r="I28" s="6" t="str">
        <x:v>DEL-018</x:v>
      </x:c>
      <x:c r="J28" s="6" t="str">
        <x:v>미확보</x:v>
      </x:c>
      <x:c r="K28" s="6" t="str">
        <x:v>요구사항 검토 초안; 실행 증거 없음</x:v>
      </x:c>
    </x:row>
    <x:row r="29" ht="44" customHeight="1">
      <x:c r="A29" s="11" t="str">
        <x:v>TC-024</x:v>
      </x:c>
      <x:c r="B29" s="11" t="str">
        <x:v>FR-024</x:v>
      </x:c>
      <x:c r="C29" s="11" t="str">
        <x:v>확장 정보 보존 확인</x:v>
      </x:c>
      <x:c r="D29" s="11" t="str">
        <x:v>통합</x:v>
      </x:c>
      <x:c r="E29" s="11" t="str">
        <x:v>해당 프로파일·표본 확보; 보류 범위는 정책 확정 후</x:v>
      </x:c>
      <x:c r="F29" s="11" t="str">
        <x:v>현재·이력의 확장 포함 XML 왕복</x:v>
      </x:c>
      <x:c r="G29" s="11" t="str">
        <x:v>왕복 변환 후 namespace·값·critical이 같고 OCSP/TSA에 CA 레벨을 추가하지 않는다.</x:v>
      </x:c>
      <x:c r="H29" s="11" t="str">
        <x:v>미실행</x:v>
      </x:c>
      <x:c r="I29" s="11" t="str">
        <x:v>DEL-018</x:v>
      </x:c>
      <x:c r="J29" s="11" t="str">
        <x:v>미확보</x:v>
      </x:c>
      <x:c r="K29" s="11" t="str">
        <x:v>요구사항 검토 초안; 실행 증거 없음</x:v>
      </x:c>
    </x:row>
    <x:row r="30" ht="44" customHeight="1">
      <x:c r="A30" s="6" t="str">
        <x:v>TC-025</x:v>
      </x:c>
      <x:c r="B30" s="6" t="str">
        <x:v>FR-025</x:v>
      </x:c>
      <x:c r="C30" s="6" t="str">
        <x:v>전체 스키마 검증 확인</x:v>
      </x:c>
      <x:c r="D30" s="6" t="str">
        <x:v>검토</x:v>
      </x:c>
      <x:c r="E30" s="6" t="str">
        <x:v>해당 프로파일·표본 확보; 보류 범위는 정책 확정 후</x:v>
      </x:c>
      <x:c r="F30" s="6" t="str">
        <x:v>공식 XSD 검증과 필수 요소 제거 XML 검사</x:v>
      </x:c>
      <x:c r="G30" s="6" t="str">
        <x:v>OQ-005에서 확정한 스키마·프로파일로 정상 표본은 검증되고 필수 필드 누락 표본은 거부된다.</x:v>
      </x:c>
      <x:c r="H30" s="6" t="str">
        <x:v>미실행</x:v>
      </x:c>
      <x:c r="I30" s="6" t="str">
        <x:v>DEL-018</x:v>
      </x:c>
      <x:c r="J30" s="6" t="str">
        <x:v>미확보</x:v>
      </x:c>
      <x:c r="K30" s="6" t="str">
        <x:v>요구사항 검토 초안; 실행 증거 없음</x:v>
      </x:c>
    </x:row>
    <x:row r="31" ht="44" customHeight="1">
      <x:c r="A31" s="11" t="str">
        <x:v>TC-026</x:v>
      </x:c>
      <x:c r="B31" s="11" t="str">
        <x:v>FR-026</x:v>
      </x:c>
      <x:c r="C31" s="11" t="str">
        <x:v>언어 프로파일 확인</x:v>
      </x:c>
      <x:c r="D31" s="11" t="str">
        <x:v>검토</x:v>
      </x:c>
      <x:c r="E31" s="11" t="str">
        <x:v>해당 프로파일·표본 확보; 보류 범위는 정책 확정 후</x:v>
      </x:c>
      <x:c r="F31" s="11" t="str">
        <x:v>ko 전용과 ko/en XML 비교</x:v>
      </x:c>
      <x:c r="G31" s="11" t="str">
        <x:v>OQ-005의 적합성 범위에 따라 en 필드를 제공하거나 미충족을 명시하며 한글 전용을 완전 준수로 표기하지 않는다.</x:v>
      </x:c>
      <x:c r="H31" s="11" t="str">
        <x:v>미실행</x:v>
      </x:c>
      <x:c r="I31" s="11" t="str">
        <x:v>DEL-018</x:v>
      </x:c>
      <x:c r="J31" s="11" t="str">
        <x:v>미확보</x:v>
      </x:c>
      <x:c r="K31" s="11" t="str">
        <x:v>요구사항 검토 초안; 실행 증거 없음</x:v>
      </x:c>
    </x:row>
    <x:row r="32" ht="44" customHeight="1">
      <x:c r="A32" s="6" t="str">
        <x:v>TC-027</x:v>
      </x:c>
      <x:c r="B32" s="6" t="str">
        <x:v>FR-027</x:v>
      </x:c>
      <x:c r="C32" s="6" t="str">
        <x:v>초안 버전 저장 확인</x:v>
      </x:c>
      <x:c r="D32" s="6" t="str">
        <x:v>통합</x:v>
      </x:c>
      <x:c r="E32" s="6" t="str">
        <x:v>해당 프로파일·표본 확보; 보류 범위는 정책 확정 후</x:v>
      </x:c>
      <x:c r="F32" s="6" t="str">
        <x:v>초안 2회 저장 후 파일·활성 포인터 비교</x:v>
      </x:c>
      <x:c r="G32" s="6" t="str">
        <x:v>연속 저장의 revision이 구분되고 이전 revision 파일 해시가 유지된다.</x:v>
      </x:c>
      <x:c r="H32" s="6" t="str">
        <x:v>미실행</x:v>
      </x:c>
      <x:c r="I32" s="6" t="str">
        <x:v>DEL-018</x:v>
      </x:c>
      <x:c r="J32" s="6" t="str">
        <x:v>미확보</x:v>
      </x:c>
      <x:c r="K32" s="6" t="str">
        <x:v>요구사항 검토 초안; 실행 증거 없음</x:v>
      </x:c>
    </x:row>
    <x:row r="33" ht="44" customHeight="1">
      <x:c r="A33" s="11" t="str">
        <x:v>TC-028</x:v>
      </x:c>
      <x:c r="B33" s="11" t="str">
        <x:v>FR-028</x:v>
      </x:c>
      <x:c r="C33" s="11" t="str">
        <x:v>오래된 초안 갱신 거부 확인</x:v>
      </x:c>
      <x:c r="D33" s="11" t="str">
        <x:v>통합</x:v>
      </x:c>
      <x:c r="E33" s="11" t="str">
        <x:v>해당 프로파일·표본 확보; 보류 범위는 정책 확정 후</x:v>
      </x:c>
      <x:c r="F33" s="11" t="str">
        <x:v>동일 revision에서 두 편집 요청을 순차 제출</x:v>
      </x:c>
      <x:c r="G33" s="11" t="str">
        <x:v>오래된 revision 요청은 저장·발행을 수행하지 않고 최신 초안이 유지된다.</x:v>
      </x:c>
      <x:c r="H33" s="11" t="str">
        <x:v>미실행</x:v>
      </x:c>
      <x:c r="I33" s="11" t="str">
        <x:v>DEL-018</x:v>
      </x:c>
      <x:c r="J33" s="11" t="str">
        <x:v>미확보</x:v>
      </x:c>
      <x:c r="K33" s="11" t="str">
        <x:v>요구사항 검토 초안; 실행 증거 없음</x:v>
      </x:c>
    </x:row>
    <x:row r="34" ht="44" customHeight="1">
      <x:c r="A34" s="6" t="str">
        <x:v>TC-029</x:v>
      </x:c>
      <x:c r="B34" s="6" t="str">
        <x:v>FR-029</x:v>
      </x:c>
      <x:c r="C34" s="6" t="str">
        <x:v>불변 발행본 식별 확인</x:v>
      </x:c>
      <x:c r="D34" s="6" t="str">
        <x:v>통합</x:v>
      </x:c>
      <x:c r="E34" s="6" t="str">
        <x:v>해당 프로파일·표본 확보; 보류 범위는 정책 확정 후</x:v>
      </x:c>
      <x:c r="F34" s="6" t="str">
        <x:v>서로 다른 입력을 동일 순번으로 TRIAL 발행</x:v>
      </x:c>
      <x:c r="G34" s="6" t="str">
        <x:v>같은 순번·다른 내용의 발행본 2개가 다른 issuanceId로 보존된다.</x:v>
      </x:c>
      <x:c r="H34" s="6" t="str">
        <x:v>미실행</x:v>
      </x:c>
      <x:c r="I34" s="6" t="str">
        <x:v>DEL-018</x:v>
      </x:c>
      <x:c r="J34" s="6" t="str">
        <x:v>미확보</x:v>
      </x:c>
      <x:c r="K34" s="6" t="str">
        <x:v>요구사항 검토 초안; 실행 증거 없음</x:v>
      </x:c>
    </x:row>
    <x:row r="35" ht="44" customHeight="1">
      <x:c r="A35" s="11" t="str">
        <x:v>TC-030</x:v>
      </x:c>
      <x:c r="B35" s="11" t="str">
        <x:v>FR-030</x:v>
      </x:c>
      <x:c r="C35" s="11" t="str">
        <x:v>동일 요청 재사용 확인</x:v>
      </x:c>
      <x:c r="D35" s="11" t="str">
        <x:v>통합</x:v>
      </x:c>
      <x:c r="E35" s="11" t="str">
        <x:v>해당 프로파일·표본 확보; 보류 범위는 정책 확정 후</x:v>
      </x:c>
      <x:c r="F35" s="11" t="str">
        <x:v>응답 유실 후 같은 요청 재전송</x:v>
      </x:c>
      <x:c r="G35" s="11" t="str">
        <x:v>동일 issuanceId·XML 바이트를 반환하고 추가 서명 호출은 0회다.</x:v>
      </x:c>
      <x:c r="H35" s="11" t="str">
        <x:v>미실행</x:v>
      </x:c>
      <x:c r="I35" s="11" t="str">
        <x:v>DEL-018</x:v>
      </x:c>
      <x:c r="J35" s="11" t="str">
        <x:v>미확보</x:v>
      </x:c>
      <x:c r="K35" s="11" t="str">
        <x:v>요구사항 검토 초안; 실행 증거 없음</x:v>
      </x:c>
    </x:row>
    <x:row r="36" ht="44" customHeight="1">
      <x:c r="A36" s="6" t="str">
        <x:v>TC-031</x:v>
      </x:c>
      <x:c r="B36" s="6" t="str">
        <x:v>FR-031</x:v>
      </x:c>
      <x:c r="C36" s="6" t="str">
        <x:v>요청 ID 충돌 거부 확인</x:v>
      </x:c>
      <x:c r="D36" s="6" t="str">
        <x:v>통합</x:v>
      </x:c>
      <x:c r="E36" s="6" t="str">
        <x:v>해당 프로파일·표본 확보; 보류 범위는 정책 확정 후</x:v>
      </x:c>
      <x:c r="F36" s="6" t="str">
        <x:v>확정된 requestId로 순번만 바꿔 재요청</x:v>
      </x:c>
      <x:c r="G36" s="6" t="str">
        <x:v>충돌을 반환하고 기존 발행 파일 해시와 결과 매핑을 유지한다.</x:v>
      </x:c>
      <x:c r="H36" s="6" t="str">
        <x:v>미실행</x:v>
      </x:c>
      <x:c r="I36" s="6" t="str">
        <x:v>DEL-018</x:v>
      </x:c>
      <x:c r="J36" s="6" t="str">
        <x:v>미확보</x:v>
      </x:c>
      <x:c r="K36" s="6" t="str">
        <x:v>요구사항 검토 초안; 실행 증거 없음</x:v>
      </x:c>
    </x:row>
    <x:row r="37" ht="44" customHeight="1">
      <x:c r="A37" s="11" t="str">
        <x:v>TC-032</x:v>
      </x:c>
      <x:c r="B37" s="11" t="str">
        <x:v>FR-032</x:v>
      </x:c>
      <x:c r="C37" s="11" t="str">
        <x:v>발행 확정 시점 확인</x:v>
      </x:c>
      <x:c r="D37" s="11" t="str">
        <x:v>통합</x:v>
      </x:c>
      <x:c r="E37" s="11" t="str">
        <x:v>해당 프로파일·표본 확보; 보류 범위는 정책 확정 후</x:v>
      </x:c>
      <x:c r="F37" s="11" t="str">
        <x:v>issued 이동 직후와 state 교체 직후 프로세스 중단</x:v>
      </x:c>
      <x:c r="G37" s="11" t="str">
        <x:v>state 교체 전 중단은 미확정, 교체 후 응답 유실은 기존 성공으로 복구된다.</x:v>
      </x:c>
      <x:c r="H37" s="11" t="str">
        <x:v>미실행</x:v>
      </x:c>
      <x:c r="I37" s="11" t="str">
        <x:v>DEL-018</x:v>
      </x:c>
      <x:c r="J37" s="11" t="str">
        <x:v>미확보</x:v>
      </x:c>
      <x:c r="K37" s="11" t="str">
        <x:v>요구사항 검토 초안; 실행 증거 없음</x:v>
      </x:c>
    </x:row>
    <x:row r="38" ht="44" customHeight="1">
      <x:c r="A38" s="6" t="str">
        <x:v>TC-033</x:v>
      </x:c>
      <x:c r="B38" s="6" t="str">
        <x:v>FR-033</x:v>
      </x:c>
      <x:c r="C38" s="6" t="str">
        <x:v>시험용 의미 오류 생성 확인</x:v>
      </x:c>
      <x:c r="D38" s="6" t="str">
        <x:v>통합</x:v>
      </x:c>
      <x:c r="E38" s="6" t="str">
        <x:v>해당 프로파일·표본 확보; 보류 범위는 정책 확정 후</x:v>
      </x:c>
      <x:c r="F38" s="6" t="str">
        <x:v>하위 순번·미래 발행·만료·소급 상태 시각 각각 지정</x:v>
      </x:c>
      <x:c r="G38" s="6" t="str">
        <x:v>각 조정값이 후보·XML에 반영되고 정상값으로 자동 교정하지 않는다.</x:v>
      </x:c>
      <x:c r="H38" s="6" t="str">
        <x:v>미실행</x:v>
      </x:c>
      <x:c r="I38" s="6" t="str">
        <x:v>DEL-018</x:v>
      </x:c>
      <x:c r="J38" s="6" t="str">
        <x:v>미확보</x:v>
      </x:c>
      <x:c r="K38" s="6" t="str">
        <x:v>요구사항 검토 초안; 실행 증거 없음</x:v>
      </x:c>
    </x:row>
    <x:row r="39" ht="44" customHeight="1">
      <x:c r="A39" s="11" t="str">
        <x:v>TC-034</x:v>
      </x:c>
      <x:c r="B39" s="11" t="str">
        <x:v>FR-034</x:v>
      </x:c>
      <x:c r="C39" s="11" t="str">
        <x:v>모델 구성 불가 입력 거부 확인</x:v>
      </x:c>
      <x:c r="D39" s="11" t="str">
        <x:v>통합</x:v>
      </x:c>
      <x:c r="E39" s="11" t="str">
        <x:v>해당 프로파일·표본 확보; 보류 범위는 정책 확정 후</x:v>
      </x:c>
      <x:c r="F39" s="11" t="str">
        <x:v>잘못된 날짜·인증서 누락·알 수 없는 상태 입력</x:v>
      </x:c>
      <x:c r="G39" s="11" t="str">
        <x:v>각 입력에 오류를 반환하고 신규 확정 발행본은 0개다.</x:v>
      </x:c>
      <x:c r="H39" s="11" t="str">
        <x:v>미실행</x:v>
      </x:c>
      <x:c r="I39" s="11" t="str">
        <x:v>DEL-018</x:v>
      </x:c>
      <x:c r="J39" s="11" t="str">
        <x:v>미확보</x:v>
      </x:c>
      <x:c r="K39" s="11" t="str">
        <x:v>요구사항 검토 초안; 실행 증거 없음</x:v>
      </x:c>
    </x:row>
    <x:row r="40" ht="44" customHeight="1">
      <x:c r="A40" s="6" t="str">
        <x:v>TC-035</x:v>
      </x:c>
      <x:c r="B40" s="6" t="str">
        <x:v>FR-035</x:v>
      </x:c>
      <x:c r="C40" s="6" t="str">
        <x:v>프로파일 스냅숏 보존 확인</x:v>
      </x:c>
      <x:c r="D40" s="6" t="str">
        <x:v>통합</x:v>
      </x:c>
      <x:c r="E40" s="6" t="str">
        <x:v>해당 프로파일·표본 확보; 보류 범위는 정책 확정 후</x:v>
      </x:c>
      <x:c r="F40" s="6" t="str">
        <x:v>발행 후 현재 프로파일을 변경하고 과거본 조회</x:v>
      </x:c>
      <x:c r="G40" s="6" t="str">
        <x:v>프로파일 설정 변경 후에도 과거 발행본의 설정·해시·XML이 동일하다.</x:v>
      </x:c>
      <x:c r="H40" s="6" t="str">
        <x:v>미실행</x:v>
      </x:c>
      <x:c r="I40" s="6" t="str">
        <x:v>DEL-018</x:v>
      </x:c>
      <x:c r="J40" s="6" t="str">
        <x:v>미확보</x:v>
      </x:c>
      <x:c r="K40" s="6" t="str">
        <x:v>요구사항 검토 초안; 실행 증거 없음</x:v>
      </x:c>
    </x:row>
    <x:row r="41" ht="44" customHeight="1">
      <x:c r="A41" s="11" t="str">
        <x:v>TC-036</x:v>
      </x:c>
      <x:c r="B41" s="11" t="str">
        <x:v>FR-036</x:v>
      </x:c>
      <x:c r="C41" s="11" t="str">
        <x:v>제공본 명시 선택 확인</x:v>
      </x:c>
      <x:c r="D41" s="11" t="str">
        <x:v>통합</x:v>
      </x:c>
      <x:c r="E41" s="11" t="str">
        <x:v>해당 프로파일·표본 확보; 보류 범위는 정책 확정 후</x:v>
      </x:c>
      <x:c r="F41" s="11" t="str">
        <x:v>낮은 순번 TRIAL 선택 후 높은 순번 파일 존재 확인</x:v>
      </x:c>
      <x:c r="G41" s="11" t="str">
        <x:v>선택본을 제공하고 더 큰 순번의 다른 파일로 자동 전환하지 않는다.</x:v>
      </x:c>
      <x:c r="H41" s="11" t="str">
        <x:v>미실행</x:v>
      </x:c>
      <x:c r="I41" s="11" t="str">
        <x:v>DEL-018</x:v>
      </x:c>
      <x:c r="J41" s="11" t="str">
        <x:v>미확보</x:v>
      </x:c>
      <x:c r="K41" s="11" t="str">
        <x:v>요구사항 검토 초안; 실행 증거 없음</x:v>
      </x:c>
    </x:row>
    <x:row r="42" ht="44" customHeight="1">
      <x:c r="A42" s="6" t="str">
        <x:v>TC-037</x:v>
      </x:c>
      <x:c r="B42" s="6" t="str">
        <x:v>FR-037</x:v>
      </x:c>
      <x:c r="C42" s="6" t="str">
        <x:v>제공 선택 충돌 검출 확인</x:v>
      </x:c>
      <x:c r="D42" s="6" t="str">
        <x:v>통합</x:v>
      </x:c>
      <x:c r="E42" s="6" t="str">
        <x:v>해당 프로파일·표본 확보; 보류 범위는 정책 확정 후</x:v>
      </x:c>
      <x:c r="F42" s="6" t="str">
        <x:v>같은 기대 revision으로 서로 다른 발행본 선택</x:v>
      </x:c>
      <x:c r="G42" s="6" t="str">
        <x:v>지연된 선택 요청이 충돌하고 최신 제공 포인터를 덮어쓰지 않는다.</x:v>
      </x:c>
      <x:c r="H42" s="6" t="str">
        <x:v>미실행</x:v>
      </x:c>
      <x:c r="I42" s="6" t="str">
        <x:v>DEL-018</x:v>
      </x:c>
      <x:c r="J42" s="6" t="str">
        <x:v>미확보</x:v>
      </x:c>
      <x:c r="K42" s="6" t="str">
        <x:v>요구사항 검토 초안; 실행 증거 없음</x:v>
      </x:c>
    </x:row>
    <x:row r="43" ht="44" customHeight="1">
      <x:c r="A43" s="11" t="str">
        <x:v>TC-038</x:v>
      </x:c>
      <x:c r="B43" s="11" t="str">
        <x:v>FR-038</x:v>
      </x:c>
      <x:c r="C43" s="11" t="str">
        <x:v>서명 XML 원문 제공 확인</x:v>
      </x:c>
      <x:c r="D43" s="11" t="str">
        <x:v>통합</x:v>
      </x:c>
      <x:c r="E43" s="11" t="str">
        <x:v>해당 프로파일·표본 확보; 보류 범위는 정책 확정 후</x:v>
      </x:c>
      <x:c r="F43" s="11" t="str">
        <x:v>선택본 파일과 HTTP 응답 바이트 비교</x:v>
      </x:c>
      <x:c r="G43" s="11" t="str">
        <x:v>응답 바이트가 저장본과 같고 Content-Type은 application/vnd.etsi.tsl+xml이다.</x:v>
      </x:c>
      <x:c r="H43" s="11" t="str">
        <x:v>미실행</x:v>
      </x:c>
      <x:c r="I43" s="11" t="str">
        <x:v>DEL-018</x:v>
      </x:c>
      <x:c r="J43" s="11" t="str">
        <x:v>미확보</x:v>
      </x:c>
      <x:c r="K43" s="11" t="str">
        <x:v>요구사항 검토 초안; 실행 증거 없음</x:v>
      </x:c>
    </x:row>
    <x:row r="44" ht="44" customHeight="1">
      <x:c r="A44" s="6" t="str">
        <x:v>TC-039</x:v>
      </x:c>
      <x:c r="B44" s="6" t="str">
        <x:v>FR-039</x:v>
      </x:c>
      <x:c r="C44" s="6" t="str">
        <x:v>조건부 조회 확인</x:v>
      </x:c>
      <x:c r="D44" s="6" t="str">
        <x:v>통합</x:v>
      </x:c>
      <x:c r="E44" s="6" t="str">
        <x:v>해당 프로파일·표본 확보; 보류 범위는 정책 확정 후</x:v>
      </x:c>
      <x:c r="F44" s="6" t="str">
        <x:v>일치·불일치·W/ 태그·태그 목록·별표 요청</x:v>
      </x:c>
      <x:c r="G44" s="6" t="str">
        <x:v>동일 태그·약한 태그·목록 일치·별표 조건을 HTTP 규칙에 따라 처리하며 304 본문은 없다.</x:v>
      </x:c>
      <x:c r="H44" s="6" t="str">
        <x:v>미실행</x:v>
      </x:c>
      <x:c r="I44" s="6" t="str">
        <x:v>DEL-018</x:v>
      </x:c>
      <x:c r="J44" s="6" t="str">
        <x:v>미확보</x:v>
      </x:c>
      <x:c r="K44" s="6" t="str">
        <x:v>요구사항 검토 초안; 실행 증거 없음</x:v>
      </x:c>
    </x:row>
    <x:row r="45" ht="44" customHeight="1">
      <x:c r="A45" s="11" t="str">
        <x:v>TC-040</x:v>
      </x:c>
      <x:c r="B45" s="11" t="str">
        <x:v>FR-040</x:v>
      </x:c>
      <x:c r="C45" s="11" t="str">
        <x:v>보조 해시 제공 확인</x:v>
      </x:c>
      <x:c r="D45" s="11" t="str">
        <x:v>통합</x:v>
      </x:c>
      <x:c r="E45" s="11" t="str">
        <x:v>해당 프로파일·표본 확보; 보류 범위는 정책 확정 후</x:v>
      </x:c>
      <x:c r="F45" s="11" t="str">
        <x:v>게시 전환 없는 상태에서 XML과 sha2 조회</x:v>
      </x:c>
      <x:c r="G45" s="11" t="str">
        <x:v>응답 길이 32이고 값이 XML 바이트의 SHA-256과 같다.</x:v>
      </x:c>
      <x:c r="H45" s="11" t="str">
        <x:v>미실행</x:v>
      </x:c>
      <x:c r="I45" s="11" t="str">
        <x:v>DEL-018</x:v>
      </x:c>
      <x:c r="J45" s="11" t="str">
        <x:v>미확보</x:v>
      </x:c>
      <x:c r="K45" s="11" t="str">
        <x:v>요구사항 검토 초안; 실행 증거 없음</x:v>
      </x:c>
    </x:row>
    <x:row r="46" ht="44" customHeight="1">
      <x:c r="A46" s="6" t="str">
        <x:v>TC-041</x:v>
      </x:c>
      <x:c r="B46" s="6" t="str">
        <x:v>FR-041</x:v>
      </x:c>
      <x:c r="C46" s="6" t="str">
        <x:v>제공 실패 응답 확인</x:v>
      </x:c>
      <x:c r="D46" s="6" t="str">
        <x:v>통합</x:v>
      </x:c>
      <x:c r="E46" s="6" t="str">
        <x:v>해당 프로파일·표본 확보; 보류 범위는 정책 확정 후</x:v>
      </x:c>
      <x:c r="F46" s="6" t="str">
        <x:v>미선택 상태 및 선택 파일 삭제·변조 상태에서 GET</x:v>
      </x:c>
      <x:c r="G46" s="6" t="str">
        <x:v>미선택은 404/TL_NOT_PUBLISHED, 손상은 503/TL_UNAVAILABLE이며 정상본으로 자동 대체하지 않는다.</x:v>
      </x:c>
      <x:c r="H46" s="6" t="str">
        <x:v>미실행</x:v>
      </x:c>
      <x:c r="I46" s="6" t="str">
        <x:v>DEL-018</x:v>
      </x:c>
      <x:c r="J46" s="6" t="str">
        <x:v>미확보</x:v>
      </x:c>
      <x:c r="K46" s="6" t="str">
        <x:v>요구사항 검토 초안; 실행 증거 없음</x:v>
      </x:c>
    </x:row>
    <x:row r="47" ht="44" customHeight="1">
      <x:c r="A47" s="11" t="str">
        <x:v>TC-042</x:v>
      </x:c>
      <x:c r="B47" s="11" t="str">
        <x:v>FR-042</x:v>
      </x:c>
      <x:c r="C47" s="11" t="str">
        <x:v>의미 오류본 전송 확인</x:v>
      </x:c>
      <x:c r="D47" s="11" t="str">
        <x:v>통합</x:v>
      </x:c>
      <x:c r="E47" s="11" t="str">
        <x:v>해당 프로파일·표본 확보; 보류 범위는 정책 확정 후</x:v>
      </x:c>
      <x:c r="F47" s="11" t="str">
        <x:v>서명은 유효하고 NextUpdate가 만료된 TRIAL 조회</x:v>
      </x:c>
      <x:c r="G47" s="11" t="str">
        <x:v>유효한 파일은 200으로 제공하되 응답에 trusted=true 등 수용 판정을 붙이지 않는다.</x:v>
      </x:c>
      <x:c r="H47" s="11" t="str">
        <x:v>미실행</x:v>
      </x:c>
      <x:c r="I47" s="11" t="str">
        <x:v>DEL-018</x:v>
      </x:c>
      <x:c r="J47" s="11" t="str">
        <x:v>미확보</x:v>
      </x:c>
      <x:c r="K47" s="11" t="str">
        <x:v>요구사항 검토 초안; 실행 증거 없음</x:v>
      </x:c>
    </x:row>
    <x:row r="48" ht="44" customHeight="1">
      <x:c r="A48" s="6" t="str">
        <x:v>TC-043</x:v>
      </x:c>
      <x:c r="B48" s="6" t="str">
        <x:v>FR-043</x:v>
      </x:c>
      <x:c r="C48" s="6" t="str">
        <x:v>조회 부수 효과 금지 확인</x:v>
      </x:c>
      <x:c r="D48" s="6" t="str">
        <x:v>통합</x:v>
      </x:c>
      <x:c r="E48" s="6" t="str">
        <x:v>해당 프로파일·표본 확보; 보류 범위는 정책 확정 후</x:v>
      </x:c>
      <x:c r="F48" s="6" t="str">
        <x:v>XML·해시·HEAD 반복 조회</x:v>
      </x:c>
      <x:c r="G48" s="6" t="str">
        <x:v>조회 전후 상태 파일·발행본 해시가 같고 발행·서명 횟수가 증가하지 않는다.</x:v>
      </x:c>
      <x:c r="H48" s="6" t="str">
        <x:v>미실행</x:v>
      </x:c>
      <x:c r="I48" s="6" t="str">
        <x:v>DEL-018</x:v>
      </x:c>
      <x:c r="J48" s="6" t="str">
        <x:v>미확보</x:v>
      </x:c>
      <x:c r="K48" s="6" t="str">
        <x:v>요구사항 검토 초안; 실행 증거 없음</x:v>
      </x:c>
    </x:row>
    <x:row r="49" ht="44" customHeight="1">
      <x:c r="A49" s="11" t="str">
        <x:v>TC-044</x:v>
      </x:c>
      <x:c r="B49" s="11" t="str">
        <x:v>FR-044</x:v>
      </x:c>
      <x:c r="C49" s="11" t="str">
        <x:v>생성과 신뢰 판정 구분 확인</x:v>
      </x:c>
      <x:c r="D49" s="11" t="str">
        <x:v>통합</x:v>
      </x:c>
      <x:c r="E49" s="11" t="str">
        <x:v>해당 프로파일·표본 확보; 보류 범위는 정책 확정 후</x:v>
      </x:c>
      <x:c r="F49" s="11" t="str">
        <x:v>정상·TRIAL 생성 및 외부 결과 미수신 화면 검사</x:v>
      </x:c>
      <x:c r="G49" s="11" t="str">
        <x:v>외부 결과가 없으면 미확인으로 표시하고 생성 성공을 전체 신뢰 통과로 표시하지 않는다.</x:v>
      </x:c>
      <x:c r="H49" s="11" t="str">
        <x:v>미실행</x:v>
      </x:c>
      <x:c r="I49" s="11" t="str">
        <x:v>DEL-018</x:v>
      </x:c>
      <x:c r="J49" s="11" t="str">
        <x:v>미확보</x:v>
      </x:c>
      <x:c r="K49" s="11" t="str">
        <x:v>요구사항 검토 초안; 실행 증거 없음</x:v>
      </x:c>
    </x:row>
    <x:row r="50" ht="44" customHeight="1">
      <x:c r="A50" s="6" t="str">
        <x:v>TC-045</x:v>
      </x:c>
      <x:c r="B50" s="6" t="str">
        <x:v>FR-045</x:v>
      </x:c>
      <x:c r="C50" s="6" t="str">
        <x:v>미구현 업무 표시 확인</x:v>
      </x:c>
      <x:c r="D50" s="6" t="str">
        <x:v>통합</x:v>
      </x:c>
      <x:c r="E50" s="6" t="str">
        <x:v>해당 프로파일·표본 확보; 보류 범위는 정책 확정 후</x:v>
      </x:c>
      <x:c r="F50" s="6" t="str">
        <x:v>각 제외 메뉴 진입 및 API 동작 확인</x:v>
      </x:c>
      <x:c r="G50" s="6" t="str">
        <x:v>메뉴가 실제 업무 완료나 심사 승인으로 표시되지 않는다.</x:v>
      </x:c>
      <x:c r="H50" s="6" t="str">
        <x:v>미실행</x:v>
      </x:c>
      <x:c r="I50" s="6" t="str">
        <x:v>DEL-018</x:v>
      </x:c>
      <x:c r="J50" s="6" t="str">
        <x:v>미확보</x:v>
      </x:c>
      <x:c r="K50" s="6" t="str">
        <x:v>요구사항 검토 초안; 실행 증거 없음</x:v>
      </x:c>
    </x:row>
    <x:row r="51" ht="44" customHeight="1">
      <x:c r="A51" s="11" t="str">
        <x:v>TC-046</x:v>
      </x:c>
      <x:c r="B51" s="11" t="str">
        <x:v>FR-046</x:v>
      </x:c>
      <x:c r="C51" s="11" t="str">
        <x:v>만료 알림 근거 확인</x:v>
      </x:c>
      <x:c r="D51" s="11" t="str">
        <x:v>통합</x:v>
      </x:c>
      <x:c r="E51" s="11" t="str">
        <x:v>해당 프로파일·표본 확보; 보류 범위는 정책 확정 후</x:v>
      </x:c>
      <x:c r="F51" s="11" t="str">
        <x:v>기한이 서로 다른 TL·서명 인증서·서비스 인증서 입력</x:v>
      </x:c>
      <x:c r="G51" s="11" t="str">
        <x:v>표시된 기한이 해당 저장 필드와 같고 서로 다른 만료 종류를 혼동하지 않는다.</x:v>
      </x:c>
      <x:c r="H51" s="11" t="str">
        <x:v>미실행</x:v>
      </x:c>
      <x:c r="I51" s="11" t="str">
        <x:v>DEL-018</x:v>
      </x:c>
      <x:c r="J51" s="11" t="str">
        <x:v>미확보</x:v>
      </x:c>
      <x:c r="K51" s="11" t="str">
        <x:v>요구사항 검토 초안; 실행 증거 없음</x:v>
      </x:c>
    </x:row>
    <x:row r="52" ht="44" customHeight="1">
      <x:c r="A52" s="6" t="str">
        <x:v>TC-047</x:v>
      </x:c>
      <x:c r="B52" s="6" t="str">
        <x:v>FR-047</x:v>
      </x:c>
      <x:c r="C52" s="6" t="str">
        <x:v>거부본과 수용본 분리 확인</x:v>
      </x:c>
      <x:c r="D52" s="6" t="str">
        <x:v>통합</x:v>
      </x:c>
      <x:c r="E52" s="6" t="str">
        <x:v>해당 프로파일·표본 확보; 보류 범위는 정책 확정 후</x:v>
      </x:c>
      <x:c r="F52" s="6" t="str">
        <x:v>큰 순번 오류 후보 수신과 기존본 만료 시점 검사</x:v>
      </x:c>
      <x:c r="G52" s="6" t="str">
        <x:v>오류 후보 수신으로 수용 순번·캐시가 바뀌지 않고 기존본도 만료되면 유효 TL 없음으로 처리한다.</x:v>
      </x:c>
      <x:c r="H52" s="6" t="str">
        <x:v>미실행</x:v>
      </x:c>
      <x:c r="I52" s="6" t="str">
        <x:v>DEL-018</x:v>
      </x:c>
      <x:c r="J52" s="6" t="str">
        <x:v>미확보</x:v>
      </x:c>
      <x:c r="K52" s="6" t="str">
        <x:v>요구사항 검토 초안; 실행 증거 없음</x:v>
      </x:c>
    </x:row>
    <x:row r="53" ht="44" customHeight="1">
      <x:c r="A53" s="11" t="str">
        <x:v>TC-048</x:v>
      </x:c>
      <x:c r="B53" s="11" t="str">
        <x:v>FR-048</x:v>
      </x:c>
      <x:c r="C53" s="11" t="str">
        <x:v>사용 근거 기록 확인</x:v>
      </x:c>
      <x:c r="D53" s="11" t="str">
        <x:v>통합</x:v>
      </x:c>
      <x:c r="E53" s="11" t="str">
        <x:v>해당 프로파일·표본 확보; 보류 범위는 정책 확정 후</x:v>
      </x:c>
      <x:c r="F53" s="11" t="str">
        <x:v>두 수용 TL 버전으로 동일 대상 시각 조회</x:v>
      </x:c>
      <x:c r="G53" s="11" t="str">
        <x:v>동일 서명에 다른 TL을 적용한 결과에서 사용 순번과 대상 구간을 구분할 수 있다.</x:v>
      </x:c>
      <x:c r="H53" s="11" t="str">
        <x:v>미실행</x:v>
      </x:c>
      <x:c r="I53" s="11" t="str">
        <x:v>DEL-018</x:v>
      </x:c>
      <x:c r="J53" s="11" t="str">
        <x:v>미확보</x:v>
      </x:c>
      <x:c r="K53" s="11" t="str">
        <x:v>요구사항 검토 초안; 실행 증거 없음</x:v>
      </x:c>
    </x:row>
    <x:row r="54" ht="44" customHeight="1">
      <x:c r="A54" s="6" t="str">
        <x:v>TC-049</x:v>
      </x:c>
      <x:c r="B54" s="6" t="str">
        <x:v>FR-049</x:v>
      </x:c>
      <x:c r="C54" s="6" t="str">
        <x:v>신청 정보 분리 확인</x:v>
      </x:c>
      <x:c r="D54" s="6" t="str">
        <x:v>검토</x:v>
      </x:c>
      <x:c r="E54" s="6" t="str">
        <x:v>해당 프로파일·표본 확보; 보류 범위는 정책 확정 후</x:v>
      </x:c>
      <x:c r="F54" s="6" t="str">
        <x:v>신규·변경 신청 후 미확정 상태에서 등재정보 조회</x:v>
      </x:c>
      <x:c r="G54" s="6" t="str">
        <x:v>신청 변경이 확정 등재정보를 바로 바꾸지 않고 상태 전이는 OQ-003의 승인된 절차와 일치한다.</x:v>
      </x:c>
      <x:c r="H54" s="6" t="str">
        <x:v>미실행</x:v>
      </x:c>
      <x:c r="I54" s="6" t="str">
        <x:v>DEL-018</x:v>
      </x:c>
      <x:c r="J54" s="6" t="str">
        <x:v>미확보</x:v>
      </x:c>
      <x:c r="K54" s="6" t="str">
        <x:v>요구사항 검토 초안; 실행 증거 없음</x:v>
      </x:c>
    </x:row>
    <x:row r="55" ht="44" customHeight="1">
      <x:c r="A55" s="11" t="str">
        <x:v>TC-050</x:v>
      </x:c>
      <x:c r="B55" s="11" t="str">
        <x:v>FR-050</x:v>
      </x:c>
      <x:c r="C55" s="11" t="str">
        <x:v>심사 결과 반영 확인</x:v>
      </x:c>
      <x:c r="D55" s="11" t="str">
        <x:v>검토</x:v>
      </x:c>
      <x:c r="E55" s="11" t="str">
        <x:v>해당 프로파일·표본 확보; 보류 범위는 정책 확정 후</x:v>
      </x:c>
      <x:c r="F55" s="11" t="str">
        <x:v>보완·반려·확정 결과별 등재정보 비교</x:v>
      </x:c>
      <x:c r="G55" s="11" t="str">
        <x:v>반려·보완 요청은 등재 변경을 발생시키지 않고 확정 결과만 반영된다.</x:v>
      </x:c>
      <x:c r="H55" s="11" t="str">
        <x:v>미실행</x:v>
      </x:c>
      <x:c r="I55" s="11" t="str">
        <x:v>DEL-018</x:v>
      </x:c>
      <x:c r="J55" s="11" t="str">
        <x:v>미확보</x:v>
      </x:c>
      <x:c r="K55" s="11" t="str">
        <x:v>요구사항 검토 초안; 실행 증거 없음</x:v>
      </x:c>
    </x:row>
    <x:row r="56" ht="44" customHeight="1">
      <x:c r="A56" s="6" t="str">
        <x:v>TC-051</x:v>
      </x:c>
      <x:c r="B56" s="6" t="str">
        <x:v>FR-051</x:v>
      </x:c>
      <x:c r="C56" s="6" t="str">
        <x:v>갱신 기한 내 재발행 확인</x:v>
      </x:c>
      <x:c r="D56" s="6" t="str">
        <x:v>검토</x:v>
      </x:c>
      <x:c r="E56" s="6" t="str">
        <x:v>해당 프로파일·표본 확보; 보류 범위는 정책 확정 후</x:v>
      </x:c>
      <x:c r="F56" s="6" t="str">
        <x:v>변경 없는 상태의 기한 도래와 발행 실패 시나리오</x:v>
      </x:c>
      <x:c r="G56" s="6" t="str">
        <x:v>OQ-006에서 정한 실행 주기·장애 조건하에 갱신 기한 이전 새 발행본이 제공된다.</x:v>
      </x:c>
      <x:c r="H56" s="6" t="str">
        <x:v>미실행</x:v>
      </x:c>
      <x:c r="I56" s="6" t="str">
        <x:v>DEL-018</x:v>
      </x:c>
      <x:c r="J56" s="6" t="str">
        <x:v>미확보</x:v>
      </x:c>
      <x:c r="K56" s="6" t="str">
        <x:v>요구사항 검토 초안; 실행 증거 없음</x:v>
      </x:c>
    </x:row>
    <x:row r="57" ht="44" customHeight="1">
      <x:c r="A57" s="11" t="str">
        <x:v>TC-052</x:v>
      </x:c>
      <x:c r="B57" s="11" t="str">
        <x:v>FR-052</x:v>
      </x:c>
      <x:c r="C57" s="11" t="str">
        <x:v>사업자 정보 수집 정책 확인</x:v>
      </x:c>
      <x:c r="D57" s="11" t="str">
        <x:v>검토</x:v>
      </x:c>
      <x:c r="E57" s="11" t="str">
        <x:v>해당 프로파일·표본 확보; 보류 범위는 정책 확정 후</x:v>
      </x:c>
      <x:c r="F57" s="11" t="str">
        <x:v>수집 성공·누락·유효성 변경·외부 장애 사례 검토</x:v>
      </x:c>
      <x:c r="G57" s="11" t="str">
        <x:v>발주기관과 합의한 수집 대상·방향·실패 처리·주기가 OQ-002에 기록되고 해당 인터페이스로 검증된다.</x:v>
      </x:c>
      <x:c r="H57" s="11" t="str">
        <x:v>미실행</x:v>
      </x:c>
      <x:c r="I57" s="11" t="str">
        <x:v>DEL-018</x:v>
      </x:c>
      <x:c r="J57" s="11" t="str">
        <x:v>미확보</x:v>
      </x:c>
      <x:c r="K57" s="11" t="str">
        <x:v>요구사항 검토 초안; 실행 증거 없음</x:v>
      </x:c>
    </x:row>
    <x:row r="58" ht="44" customHeight="1">
      <x:c r="A58" s="6" t="str">
        <x:v>TC-053</x:v>
      </x:c>
      <x:c r="B58" s="6" t="str">
        <x:v>FR-053</x:v>
      </x:c>
      <x:c r="C58" s="6" t="str">
        <x:v>HSM 서명 연계 확인</x:v>
      </x:c>
      <x:c r="D58" s="6" t="str">
        <x:v>검토</x:v>
      </x:c>
      <x:c r="E58" s="6" t="str">
        <x:v>해당 프로파일·표본 확보; 보류 범위는 정책 확정 후</x:v>
      </x:c>
      <x:c r="F58" s="6" t="str">
        <x:v>정상 키·잘못된 키 식별자·HSM 통신 실패</x:v>
      </x:c>
      <x:c r="G58" s="6" t="str">
        <x:v>OQ-003에서 정한 서명 계약에 따라 정상 서명과 키 접근 실패가 구분되고 실패 시 확정되지 않는다.</x:v>
      </x:c>
      <x:c r="H58" s="6" t="str">
        <x:v>미실행</x:v>
      </x:c>
      <x:c r="I58" s="6" t="str">
        <x:v>DEL-018</x:v>
      </x:c>
      <x:c r="J58" s="6" t="str">
        <x:v>미확보</x:v>
      </x:c>
      <x:c r="K58" s="6" t="str">
        <x:v>요구사항 검토 초안; 실행 증거 없음</x:v>
      </x:c>
    </x:row>
    <x:row r="59" ht="44" customHeight="1">
      <x:c r="A59" s="11" t="str">
        <x:v>TC-054</x:v>
      </x:c>
      <x:c r="B59" s="11" t="str">
        <x:v>FR-054</x:v>
      </x:c>
      <x:c r="C59" s="11" t="str">
        <x:v>관리·배포 구간 분리 확인</x:v>
      </x:c>
      <x:c r="D59" s="11" t="str">
        <x:v>검토</x:v>
      </x:c>
      <x:c r="E59" s="11" t="str">
        <x:v>해당 프로파일·표본 확보; 보류 범위는 정책 확정 후</x:v>
      </x:c>
      <x:c r="F59" s="11" t="str">
        <x:v>전송 중단 후 동일 발행본 재전송</x:v>
      </x:c>
      <x:c r="G59" s="11" t="str">
        <x:v>재전송으로 순번·XML·서명이 바뀌지 않고 게시 전환 실패 시 이전 제공본을 유지한다.</x:v>
      </x:c>
      <x:c r="H59" s="11" t="str">
        <x:v>미실행</x:v>
      </x:c>
      <x:c r="I59" s="11" t="str">
        <x:v>DEL-018</x:v>
      </x:c>
      <x:c r="J59" s="11" t="str">
        <x:v>미확보</x:v>
      </x:c>
      <x:c r="K59" s="11" t="str">
        <x:v>요구사항 검토 초안; 실행 증거 없음</x:v>
      </x:c>
    </x:row>
    <x:row r="60" ht="44" customHeight="1">
      <x:c r="A60" s="6" t="str">
        <x:v>TC-055</x:v>
      </x:c>
      <x:c r="B60" s="6" t="str">
        <x:v>SR-001</x:v>
      </x:c>
      <x:c r="C60" s="6" t="str">
        <x:v>TL 전자서명 확인</x:v>
      </x:c>
      <x:c r="D60" s="6" t="str">
        <x:v>보안, 실패</x:v>
      </x:c>
      <x:c r="E60" s="6" t="str">
        <x:v>해당 프로파일·표본 확보; 보류 범위는 정책 확정 후</x:v>
      </x:c>
      <x:c r="F60" s="6" t="str">
        <x:v>정상 발행본 서명 검증과 서명 대상 데이터 1바이트 변경</x:v>
      </x:c>
      <x:c r="G60" s="6" t="str">
        <x:v>루트 참조와 enveloped→exclusive C14N 변환이 존재하고 서명값·참조 다이제스트가 검증된다.</x:v>
      </x:c>
      <x:c r="H60" s="6" t="str">
        <x:v>미실행</x:v>
      </x:c>
      <x:c r="I60" s="6" t="str">
        <x:v>DEL-019</x:v>
      </x:c>
      <x:c r="J60" s="6" t="str">
        <x:v>미확보</x:v>
      </x:c>
      <x:c r="K60" s="6" t="str">
        <x:v>요구사항 검토 초안; 실행 증거 없음</x:v>
      </x:c>
    </x:row>
    <x:row r="61" ht="44" customHeight="1">
      <x:c r="A61" s="11" t="str">
        <x:v>TC-056</x:v>
      </x:c>
      <x:c r="B61" s="11" t="str">
        <x:v>SR-002</x:v>
      </x:c>
      <x:c r="C61" s="11" t="str">
        <x:v>서명 실패 미확정 확인</x:v>
      </x:c>
      <x:c r="D61" s="11" t="str">
        <x:v>보안, 실패</x:v>
      </x:c>
      <x:c r="E61" s="11" t="str">
        <x:v>해당 프로파일·표본 확보; 보류 범위는 정책 확정 후</x:v>
      </x:c>
      <x:c r="F61" s="11" t="str">
        <x:v>키 누락·서명 예외·참조 다이제스트 불일치 주입</x:v>
      </x:c>
      <x:c r="G61" s="11" t="str">
        <x:v>각 실패가 구분되어 반환되고 확정 목록·정상 기준·제공본은 이전 값이다.</x:v>
      </x:c>
      <x:c r="H61" s="11" t="str">
        <x:v>미실행</x:v>
      </x:c>
      <x:c r="I61" s="11" t="str">
        <x:v>DEL-019</x:v>
      </x:c>
      <x:c r="J61" s="11" t="str">
        <x:v>미확보</x:v>
      </x:c>
      <x:c r="K61" s="11" t="str">
        <x:v>요구사항 검토 초안; 실행 증거 없음</x:v>
      </x:c>
    </x:row>
    <x:row r="62" ht="44" customHeight="1">
      <x:c r="A62" s="6" t="str">
        <x:v>TC-057</x:v>
      </x:c>
      <x:c r="B62" s="6" t="str">
        <x:v>SR-003</x:v>
      </x:c>
      <x:c r="C62" s="6" t="str">
        <x:v>TRIAL 기준 격리 확인</x:v>
      </x:c>
      <x:c r="D62" s="6" t="str">
        <x:v>보안, 실패</x:v>
      </x:c>
      <x:c r="E62" s="6" t="str">
        <x:v>해당 프로파일·표본 확보; 보류 범위는 정책 확정 후</x:v>
      </x:c>
      <x:c r="F62" s="6" t="str">
        <x:v>큰 순번 및 소급 상태 시각 TRIAL 발행</x:v>
      </x:c>
      <x:c r="G62" s="6" t="str">
        <x:v>각 정상 기준 값의 발행 전후 비교가 일치한다.</x:v>
      </x:c>
      <x:c r="H62" s="6" t="str">
        <x:v>미실행</x:v>
      </x:c>
      <x:c r="I62" s="6" t="str">
        <x:v>DEL-019</x:v>
      </x:c>
      <x:c r="J62" s="6" t="str">
        <x:v>미확보</x:v>
      </x:c>
      <x:c r="K62" s="6" t="str">
        <x:v>요구사항 검토 초안; 실행 증거 없음</x:v>
      </x:c>
    </x:row>
    <x:row r="63" ht="44" customHeight="1">
      <x:c r="A63" s="11" t="str">
        <x:v>TC-058</x:v>
      </x:c>
      <x:c r="B63" s="11" t="str">
        <x:v>SR-004</x:v>
      </x:c>
      <x:c r="C63" s="11" t="str">
        <x:v>미지원 critical 확장 거부 확인</x:v>
      </x:c>
      <x:c r="D63" s="11" t="str">
        <x:v>보안, 실패</x:v>
      </x:c>
      <x:c r="E63" s="11" t="str">
        <x:v>해당 프로파일·표본 확보; 보류 범위는 정책 확정 후</x:v>
      </x:c>
      <x:c r="F63" s="11" t="str">
        <x:v>알 수 없는 namespace의 critical 확장 포함 TL</x:v>
      </x:c>
      <x:c r="G63" s="11" t="str">
        <x:v>미지원 critical 입력은 수용 실패이며 기존 수용본은 유지된다.</x:v>
      </x:c>
      <x:c r="H63" s="11" t="str">
        <x:v>미실행</x:v>
      </x:c>
      <x:c r="I63" s="11" t="str">
        <x:v>DEL-019</x:v>
      </x:c>
      <x:c r="J63" s="11" t="str">
        <x:v>미확보</x:v>
      </x:c>
      <x:c r="K63" s="11" t="str">
        <x:v>요구사항 검토 초안; 실행 증거 없음</x:v>
      </x:c>
    </x:row>
    <x:row r="64" ht="44" customHeight="1">
      <x:c r="A64" s="6" t="str">
        <x:v>TC-059</x:v>
      </x:c>
      <x:c r="B64" s="6" t="str">
        <x:v>SR-005</x:v>
      </x:c>
      <x:c r="C64" s="6" t="str">
        <x:v>미지원 상태 자동 승인 금지 확인</x:v>
      </x:c>
      <x:c r="D64" s="6" t="str">
        <x:v>보안, 실패</x:v>
      </x:c>
      <x:c r="E64" s="6" t="str">
        <x:v>해당 프로파일·표본 확보; 보류 범위는 정책 확정 후</x:v>
      </x:c>
      <x:c r="F64" s="6" t="str">
        <x:v>미지원 URI와 기존 granted URI를 각각 입력</x:v>
      </x:c>
      <x:c r="G64" s="6" t="str">
        <x:v>관리 입력은 오류이고 외부 파싱은 원 URI와 해석 불가 상태를 보존한다.</x:v>
      </x:c>
      <x:c r="H64" s="6" t="str">
        <x:v>미실행</x:v>
      </x:c>
      <x:c r="I64" s="6" t="str">
        <x:v>DEL-019</x:v>
      </x:c>
      <x:c r="J64" s="6" t="str">
        <x:v>미확보</x:v>
      </x:c>
      <x:c r="K64" s="6" t="str">
        <x:v>요구사항 검토 초안; 실행 증거 없음</x:v>
      </x:c>
    </x:row>
    <x:row r="65" ht="44" customHeight="1">
      <x:c r="A65" s="11" t="str">
        <x:v>TC-060</x:v>
      </x:c>
      <x:c r="B65" s="11" t="str">
        <x:v>SR-006</x:v>
      </x:c>
      <x:c r="C65" s="11" t="str">
        <x:v>신뢰앵커 독립 설정 확인</x:v>
      </x:c>
      <x:c r="D65" s="11" t="str">
        <x:v>보안, 실패</x:v>
      </x:c>
      <x:c r="E65" s="11" t="str">
        <x:v>해당 프로파일·표본 확보; 보류 범위는 정책 확정 후</x:v>
      </x:c>
      <x:c r="F65" s="11" t="str">
        <x:v>공격자 자체 Root로 서명한 형식상 정상 TL 수신</x:v>
      </x:c>
      <x:c r="G65" s="11" t="str">
        <x:v>사전 설정 앵커에 연결되지 않는 서명은 채택되지 않는다.</x:v>
      </x:c>
      <x:c r="H65" s="11" t="str">
        <x:v>미실행</x:v>
      </x:c>
      <x:c r="I65" s="11" t="str">
        <x:v>DEL-019</x:v>
      </x:c>
      <x:c r="J65" s="11" t="str">
        <x:v>미확보</x:v>
      </x:c>
      <x:c r="K65" s="11" t="str">
        <x:v>요구사항 검토 초안; 실행 증거 없음</x:v>
      </x:c>
    </x:row>
    <x:row r="66" ht="44" customHeight="1">
      <x:c r="A66" s="6" t="str">
        <x:v>TC-061</x:v>
      </x:c>
      <x:c r="B66" s="6" t="str">
        <x:v>SR-007</x:v>
      </x:c>
      <x:c r="C66" s="6" t="str">
        <x:v>개인키 비공개 확인</x:v>
      </x:c>
      <x:c r="D66" s="6" t="str">
        <x:v>보안, 실패</x:v>
      </x:c>
      <x:c r="E66" s="6" t="str">
        <x:v>해당 프로파일·표본 확보; 보류 범위는 정책 확정 후</x:v>
      </x:c>
      <x:c r="F66" s="6" t="str">
        <x:v>발행 산출물과 XML·해시·오류 응답 검사</x:v>
      </x:c>
      <x:c r="G66" s="6" t="str">
        <x:v>보관 메타데이터와 공개 응답에 개인키 인코딩이 없고 필요한 공개 인증서만 포함된다.</x:v>
      </x:c>
      <x:c r="H66" s="6" t="str">
        <x:v>미실행</x:v>
      </x:c>
      <x:c r="I66" s="6" t="str">
        <x:v>DEL-019</x:v>
      </x:c>
      <x:c r="J66" s="6" t="str">
        <x:v>미확보</x:v>
      </x:c>
      <x:c r="K66" s="6" t="str">
        <x:v>요구사항 검토 초안; 실행 증거 없음</x:v>
      </x:c>
    </x:row>
    <x:row r="67" ht="44" customHeight="1">
      <x:c r="A67" s="11" t="str">
        <x:v>TC-062</x:v>
      </x:c>
      <x:c r="B67" s="11" t="str">
        <x:v>SR-008</x:v>
      </x:c>
      <x:c r="C67" s="11" t="str">
        <x:v>단일 작성자 확인</x:v>
      </x:c>
      <x:c r="D67" s="11" t="str">
        <x:v>보안, 실패</x:v>
      </x:c>
      <x:c r="E67" s="11" t="str">
        <x:v>해당 프로파일·표본 확보; 보류 범위는 정책 확정 후</x:v>
      </x:c>
      <x:c r="F67" s="11" t="str">
        <x:v>같은 저장 루트로 WAS 2개 기동</x:v>
      </x:c>
      <x:c r="G67" s="11" t="str">
        <x:v>두 번째 인스턴스가 관리 쓰기를 시작하지 못하고 첫 번째 상태는 유지된다.</x:v>
      </x:c>
      <x:c r="H67" s="11" t="str">
        <x:v>미실행</x:v>
      </x:c>
      <x:c r="I67" s="11" t="str">
        <x:v>DEL-019</x:v>
      </x:c>
      <x:c r="J67" s="11" t="str">
        <x:v>미확보</x:v>
      </x:c>
      <x:c r="K67" s="11" t="str">
        <x:v>요구사항 검토 초안; 실행 증거 없음</x:v>
      </x:c>
    </x:row>
    <x:row r="68" ht="44" customHeight="1">
      <x:c r="A68" s="6" t="str">
        <x:v>TC-063</x:v>
      </x:c>
      <x:c r="B68" s="6" t="str">
        <x:v>SR-009</x:v>
      </x:c>
      <x:c r="C68" s="6" t="str">
        <x:v>운영 권한 강제 확인</x:v>
      </x:c>
      <x:c r="D68" s="6" t="str">
        <x:v>보안, 실패</x:v>
      </x:c>
      <x:c r="E68" s="6" t="str">
        <x:v>해당 프로파일·표본 확보; 보류 범위는 정책 확정 후</x:v>
      </x:c>
      <x:c r="F68" s="6" t="str">
        <x:v>권한 없는 주체의 직접 관리 API 호출</x:v>
      </x:c>
      <x:c r="G68" s="6" t="str">
        <x:v>OQ-003의 역할 행렬에 없는 호출이 거부되고 상태가 바뀌지 않는다.</x:v>
      </x:c>
      <x:c r="H68" s="6" t="str">
        <x:v>미실행</x:v>
      </x:c>
      <x:c r="I68" s="6" t="str">
        <x:v>DEL-019</x:v>
      </x:c>
      <x:c r="J68" s="6" t="str">
        <x:v>미확보</x:v>
      </x:c>
      <x:c r="K68" s="6" t="str">
        <x:v>요구사항 검토 초안; 실행 증거 없음</x:v>
      </x:c>
    </x:row>
    <x:row r="69" ht="44" customHeight="1">
      <x:c r="A69" s="11" t="str">
        <x:v>TC-064</x:v>
      </x:c>
      <x:c r="B69" s="11" t="str">
        <x:v>SR-010</x:v>
      </x:c>
      <x:c r="C69" s="11" t="str">
        <x:v>운영 처리 이력 확인</x:v>
      </x:c>
      <x:c r="D69" s="11" t="str">
        <x:v>보안, 실패</x:v>
      </x:c>
      <x:c r="E69" s="11" t="str">
        <x:v>해당 프로파일·표본 확보; 보류 범위는 정책 확정 후</x:v>
      </x:c>
      <x:c r="F69" s="11" t="str">
        <x:v>정보 변경·심사·발행 성공과 실패 사례</x:v>
      </x:c>
      <x:c r="G69" s="11" t="str">
        <x:v>각 성공·실패 작업의 기록 범위와 보존·열람 정책이 OQ-003에 따라 검증된다.</x:v>
      </x:c>
      <x:c r="H69" s="11" t="str">
        <x:v>미실행</x:v>
      </x:c>
      <x:c r="I69" s="11" t="str">
        <x:v>DEL-019</x:v>
      </x:c>
      <x:c r="J69" s="11" t="str">
        <x:v>미확보</x:v>
      </x:c>
      <x:c r="K69" s="11" t="str">
        <x:v>요구사항 검토 초안; 실행 증거 없음</x:v>
      </x:c>
    </x:row>
    <x:row r="70" ht="44" customHeight="1">
      <x:c r="A70" s="6" t="str">
        <x:v>TC-065</x:v>
      </x:c>
      <x:c r="B70" s="6" t="str">
        <x:v>SR-011</x:v>
      </x:c>
      <x:c r="C70" s="6" t="str">
        <x:v>저장 경로 이탈 차단 확인</x:v>
      </x:c>
      <x:c r="D70" s="6" t="str">
        <x:v>보안, 실패</x:v>
      </x:c>
      <x:c r="E70" s="6" t="str">
        <x:v>해당 프로파일·표본 확보; 보류 범위는 정책 확정 후</x:v>
      </x:c>
      <x:c r="F70" s="6" t="str">
        <x:v>../·절대경로·루트 밖 링크를 식별 입력에 적용</x:v>
      </x:c>
      <x:c r="G70" s="6" t="str">
        <x:v>상대경로 이탈·절대경로·루트 밖 링크 입력이 거부되고 외부 파일 내용은 노출되지 않는다.</x:v>
      </x:c>
      <x:c r="H70" s="6" t="str">
        <x:v>미실행</x:v>
      </x:c>
      <x:c r="I70" s="6" t="str">
        <x:v>DEL-019</x:v>
      </x:c>
      <x:c r="J70" s="6" t="str">
        <x:v>미확보</x:v>
      </x:c>
      <x:c r="K70" s="6" t="str">
        <x:v>요구사항 검토 초안; 실행 증거 없음</x:v>
      </x:c>
    </x:row>
    <x:row r="71" ht="44" customHeight="1">
      <x:c r="A71" s="11" t="str">
        <x:v>TC-066</x:v>
      </x:c>
      <x:c r="B71" s="11" t="str">
        <x:v>NFR-001</x:v>
      </x:c>
      <x:c r="C71" s="11" t="str">
        <x:v>프로세스 중단 복구 확인</x:v>
      </x:c>
      <x:c r="D71" s="11" t="str">
        <x:v>통합</x:v>
      </x:c>
      <x:c r="E71" s="11" t="str">
        <x:v>해당 프로파일·표본 확보; 보류 범위는 정책 확정 후</x:v>
      </x:c>
      <x:c r="F71" s="11" t="str">
        <x:v>단계별 중단 후 재기동과 상태 비교</x:v>
      </x:c>
      <x:c r="G71" s="11" t="str">
        <x:v>확정 전 orphan은 자동 제공되지 않고 확정 후 결과는 동일 ID·바이트로 재조회된다.</x:v>
      </x:c>
      <x:c r="H71" s="11" t="str">
        <x:v>미실행</x:v>
      </x:c>
      <x:c r="I71" s="11" t="str">
        <x:v>DEL-020</x:v>
      </x:c>
      <x:c r="J71" s="11" t="str">
        <x:v>미확보</x:v>
      </x:c>
      <x:c r="K71" s="11" t="str">
        <x:v>요구사항 검토 초안; 실행 증거 없음</x:v>
      </x:c>
    </x:row>
    <x:row r="72" ht="44" customHeight="1">
      <x:c r="A72" s="6" t="str">
        <x:v>TC-067</x:v>
      </x:c>
      <x:c r="B72" s="6" t="str">
        <x:v>NFR-002</x:v>
      </x:c>
      <x:c r="C72" s="6" t="str">
        <x:v>단일 응답 일관성 확인</x:v>
      </x:c>
      <x:c r="D72" s="6" t="str">
        <x:v>통합</x:v>
      </x:c>
      <x:c r="E72" s="6" t="str">
        <x:v>해당 프로파일·표본 확보; 보류 범위는 정책 확정 후</x:v>
      </x:c>
      <x:c r="F72" s="6" t="str">
        <x:v>발행본 전환과 병렬 XML GET 반복</x:v>
      </x:c>
      <x:c r="G72" s="6" t="str">
        <x:v>동시 게시 전환 중 각 XML 응답의 ETag와 본문 해시가 일치한다.</x:v>
      </x:c>
      <x:c r="H72" s="6" t="str">
        <x:v>미실행</x:v>
      </x:c>
      <x:c r="I72" s="6" t="str">
        <x:v>DEL-020</x:v>
      </x:c>
      <x:c r="J72" s="6" t="str">
        <x:v>미확보</x:v>
      </x:c>
      <x:c r="K72" s="6" t="str">
        <x:v>요구사항 검토 초안; 실행 증거 없음</x:v>
      </x:c>
    </x:row>
    <x:row r="73" ht="44" customHeight="1">
      <x:c r="A73" s="11" t="str">
        <x:v>TC-068</x:v>
      </x:c>
      <x:c r="B73" s="11" t="str">
        <x:v>NFR-003</x:v>
      </x:c>
      <x:c r="C73" s="11" t="str">
        <x:v>처리량·응답시간 목표 확인</x:v>
      </x:c>
      <x:c r="D73" s="11" t="str">
        <x:v>검토</x:v>
      </x:c>
      <x:c r="E73" s="11" t="str">
        <x:v>해당 프로파일·표본 확보; 보류 범위는 정책 확정 후</x:v>
      </x:c>
      <x:c r="F73" s="11" t="str">
        <x:v>합의한 자료량과 동시 요청 부하 시험</x:v>
      </x:c>
      <x:c r="G73" s="11" t="str">
        <x:v>OQ-006에 사용자 수·자료량·부하·p95·오류율 기준이 확정된 후 그 기준으로 측정한다.</x:v>
      </x:c>
      <x:c r="H73" s="11" t="str">
        <x:v>미실행</x:v>
      </x:c>
      <x:c r="I73" s="11" t="str">
        <x:v>DEL-020</x:v>
      </x:c>
      <x:c r="J73" s="11" t="str">
        <x:v>미확보</x:v>
      </x:c>
      <x:c r="K73" s="11" t="str">
        <x:v>요구사항 검토 초안; 실행 증거 없음</x:v>
      </x:c>
    </x:row>
    <x:row r="74" ht="44" customHeight="1">
      <x:c r="A74" s="6" t="str">
        <x:v>TC-069</x:v>
      </x:c>
      <x:c r="B74" s="6" t="str">
        <x:v>NFR-004</x:v>
      </x:c>
      <x:c r="C74" s="6" t="str">
        <x:v>보존·복원 목표 확인</x:v>
      </x:c>
      <x:c r="D74" s="6" t="str">
        <x:v>검토</x:v>
      </x:c>
      <x:c r="E74" s="6" t="str">
        <x:v>해당 프로파일·표본 확보; 보류 범위는 정책 확정 후</x:v>
      </x:c>
      <x:c r="F74" s="6" t="str">
        <x:v>백업으로부터 상태·발행본·키 참조 복원</x:v>
      </x:c>
      <x:c r="G74" s="6" t="str">
        <x:v>OQ-006에 보존 기간·RPO·RTO·키 복원 책임이 정해진 후 복구 결과와 대조한다.</x:v>
      </x:c>
      <x:c r="H74" s="6" t="str">
        <x:v>미실행</x:v>
      </x:c>
      <x:c r="I74" s="6" t="str">
        <x:v>DEL-020</x:v>
      </x:c>
      <x:c r="J74" s="6" t="str">
        <x:v>미확보</x:v>
      </x:c>
      <x:c r="K74" s="6" t="str">
        <x:v>요구사항 검토 초안; 실행 증거 없음</x:v>
      </x:c>
    </x:row>
    <x:row r="75" ht="44" customHeight="1">
      <x:c r="A75" s="11" t="str">
        <x:v>TC-070</x:v>
      </x:c>
      <x:c r="B75" s="11" t="str">
        <x:v>NFR-005</x:v>
      </x:c>
      <x:c r="C75" s="11" t="str">
        <x:v>로컬 자료 경로 일원화 확인</x:v>
      </x:c>
      <x:c r="D75" s="11" t="str">
        <x:v>통합</x:v>
      </x:c>
      <x:c r="E75" s="11" t="str">
        <x:v>해당 프로파일·표본 확보; 보류 범위는 정책 확정 후</x:v>
      </x:c>
      <x:c r="F75" s="11" t="str">
        <x:v>경로 설정·실행 로그·다운로드 위치 검사</x:v>
      </x:c>
      <x:c r="G75" s="11" t="str">
        <x:v>워크트리 설정은 main을 가리키고 원문·키·로그 복사본을 워크트리에 생성하지 않는다.</x:v>
      </x:c>
      <x:c r="H75" s="11" t="str">
        <x:v>미실행</x:v>
      </x:c>
      <x:c r="I75" s="11" t="str">
        <x:v>DEL-020</x:v>
      </x:c>
      <x:c r="J75" s="11" t="str">
        <x:v>미확보</x:v>
      </x:c>
      <x:c r="K75" s="11" t="str">
        <x:v>요구사항 검토 초안; 실행 증거 없음</x:v>
      </x:c>
    </x:row>
  </x:sheetData>
  <x:pageMargins left="0.7" right="0.7" top="0.75" bottom="0.75" header="0.3" footer="0.3"/>
  <x:tableParts count="1">
    <x:tablePart xmlns:r="http://schemas.openxmlformats.org/officeDocument/2006/relationships" r:id="Rdad3ab0aa11345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46" hidden="0" customWidth="1"/>
    <x:col min="3" max="3" width="24" hidden="0" customWidth="1"/>
    <x:col min="4" max="4" width="50" hidden="0" customWidth="1"/>
    <x:col min="5" max="5" width="60" hidden="0" customWidth="1"/>
    <x:col min="6" max="6" width="75" hidden="0" customWidth="1"/>
    <x:col min="7" max="7" width="80" hidden="0" customWidth="1"/>
    <x:col min="8" max="8" width="70" hidden="0" customWidth="1"/>
    <x:col min="9" max="9" width="3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3" t="str">
        <x:v>표준·사업·정책 근거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 t="str">
        <x:v>법령·고시 2개는 부분 확보. 기존 설계 백업 및 원문 파일은 main에 보관한다.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10" t="str">
        <x:v>근거키</x:v>
      </x:c>
      <x:c r="B5" s="10" t="str">
        <x:v>문서·판본</x:v>
      </x:c>
      <x:c r="C5" s="10" t="str">
        <x:v>관계·확인 수준</x:v>
      </x:c>
      <x:c r="D5" s="10" t="str">
        <x:v>관련 조항</x:v>
      </x:c>
      <x:c r="E5" s="10" t="str">
        <x:v>적용 범위·한계</x:v>
      </x:c>
      <x:c r="F5" s="10" t="str">
        <x:v>공식 URL</x:v>
      </x:c>
      <x:c r="G5" s="10" t="str">
        <x:v>원문·자료 위치</x:v>
      </x:c>
      <x:c r="H5" s="10" t="str">
        <x:v>SHA-256</x:v>
      </x:c>
      <x:c r="I5" s="10" t="str">
        <x:v>취득 시각 UTC</x:v>
      </x:c>
    </x:row>
    <x:row r="6" ht="44" customHeight="1">
      <x:c r="A6" s="6" t="str">
        <x:v>STD-01</x:v>
      </x:c>
      <x:c r="B6" s="6" t="str">
        <x:v>ETSI TS 119 612 V2.4.1 (2025-08)</x:v>
      </x:c>
      <x:c r="C6" s="6" t="str">
        <x:v>기존 채택 기준</x:v>
      </x:c>
      <x:c r="D6" s="6" t="str">
        <x:v>§5.1.4, §5.3.1–3·12·14·15, §5.5·5.6·5.7, §6, Annex B·C·D·G</x:v>
      </x:c>
      <x:c r="E6" s="6" t="str">
        <x:v>형식·이력·서명·제공 규칙. 국내 법적 인정과 EU 적격 지위를 동일시하지 않음</x:v>
      </x:c>
      <x:c r="F6" s="6" t="str">
        <x:v>https://www.etsi.org/deliver/etsi_ts/119600_119699/119612/02.04.01_60/ts_119612v020401p.pdf</x:v>
      </x:c>
      <x:c r="G6" s="6" t="str">
        <x:v>F:/kr-dss-works/kr-dss/runtime/reference-library/tl-management/2026-10-26/ETSI_TS_119_612_V2.4.1.pdf</x:v>
      </x:c>
      <x:c r="H6" s="6" t="str">
        <x:v>83285a1069e369d225cf16a0051a46b1f9d8961b6ad5d66bb7650351309a5196</x:v>
      </x:c>
      <x:c r="I6" s="6" t="d">
        <x:v>2026-10-26T04:06:56.140Z</x:v>
      </x:c>
    </x:row>
    <x:row r="7" ht="44" customHeight="1">
      <x:c r="A7" s="11" t="str">
        <x:v>STD-02</x:v>
      </x:c>
      <x:c r="B7" s="11" t="str">
        <x:v>ETSI TS 119 615 V1.4.1 (2026-05)</x:v>
      </x:c>
      <x:c r="C7" s="11" t="str">
        <x:v>보완 참고</x:v>
      </x:c>
      <x:c r="D7" s="11" t="str">
        <x:v>EU 국가 TL 사용·해석 절차; 상세 조항 채택은 후속</x:v>
      </x:c>
      <x:c r="E7" s="11" t="str">
        <x:v>기존 자료실 판본과 해시 일치. 외부 소비자 참고이며 KR 수용 정책의 자동 근거 아님</x:v>
      </x:c>
      <x:c r="F7" s="11" t="str">
        <x:v>https://www.etsi.org/deliver/etsi_ts/119600_119699/119615/01.04.01_60/ts_119615v010401p.pdf</x:v>
      </x:c>
      <x:c r="G7" s="11" t="str">
        <x:v>F:/kr-dss-works/kr-dss/runtime/reference-library/tl-management/2026-10-26/ETSI_TS_119_615_V1.4.1.pdf</x:v>
      </x:c>
      <x:c r="H7" s="11" t="str">
        <x:v>7e348c297b273fce37e6243ba9e53490cb554c1d8bd9cb63b85259ba427ce3fa</x:v>
      </x:c>
      <x:c r="I7" s="11" t="d">
        <x:v>2026-10-26T04:06:56.141Z</x:v>
      </x:c>
    </x:row>
    <x:row r="8" ht="44" customHeight="1">
      <x:c r="A8" s="6" t="str">
        <x:v>STD-03</x:v>
      </x:c>
      <x:c r="B8" s="6" t="str">
        <x:v>ETSI EN 319 132-1 V1.3.1 (2024-07)</x:v>
      </x:c>
      <x:c r="C8" s="6" t="str">
        <x:v>서명 보완 근거</x:v>
      </x:c>
      <x:c r="D8" s="6" t="str">
        <x:v>XAdES 구성·baseline; TS 119 612 B.1과 함께 적용</x:v>
      </x:c>
      <x:c r="E8" s="6" t="str">
        <x:v>이번에 고정한 보완 조사 판본. 기존 구현의 완전 일치나 인증을 주장하지 않음</x:v>
      </x:c>
      <x:c r="F8" s="6" t="str">
        <x:v>https://www.etsi.org/deliver/etsi_en/319100_319199/31913201/01.03.01_60/en_31913201v010301p.pdf</x:v>
      </x:c>
      <x:c r="G8" s="6" t="str">
        <x:v>F:/kr-dss-works/kr-dss/runtime/reference-library/tl-management/2026-10-26/ETSI_EN_319_132-1_V1.3.1.pdf</x:v>
      </x:c>
      <x:c r="H8" s="6" t="str">
        <x:v>83fc87ee09de90274131a1f60cb73edb742cebc7cd8961342586ed06133664c5</x:v>
      </x:c>
      <x:c r="I8" s="6" t="d">
        <x:v>2026-10-26T04:06:56.142Z</x:v>
      </x:c>
    </x:row>
    <x:row r="9" ht="44" customHeight="1">
      <x:c r="A9" s="11" t="str">
        <x:v>STD-04</x:v>
      </x:c>
      <x:c r="B9" s="11" t="str">
        <x:v>W3C XML Signature 1.1 (2013-04-11)</x:v>
      </x:c>
      <x:c r="C9" s="11" t="str">
        <x:v>서명 기본 근거</x:v>
      </x:c>
      <x:c r="D9" s="11" t="str">
        <x:v>§3 처리, §4.3 SignedInfo·Reference</x:v>
      </x:c>
      <x:c r="E9" s="11" t="str">
        <x:v>참조 다이제스트와 서명값 검증. 적용 알고리즘은 별도 프로파일</x:v>
      </x:c>
      <x:c r="F9" s="11" t="str">
        <x:v>https://www.w3.org/TR/2013/REC-xmldsig-core1-20130411/</x:v>
      </x:c>
      <x:c r="G9" s="11" t="str">
        <x:v>F:/kr-dss-works/kr-dss/runtime/reference-library/tl-management/2026-10-26/W3C_XMLDSIG_1.1_20130411.html</x:v>
      </x:c>
      <x:c r="H9" s="11" t="str">
        <x:v>4924a334deb880e7e18b54cd6db037aa6b4d0186e626a26d636c124f8a2e07a3</x:v>
      </x:c>
      <x:c r="I9" s="11" t="d">
        <x:v>2026-10-26T04:06:56.142Z</x:v>
      </x:c>
    </x:row>
    <x:row r="10" ht="44" customHeight="1">
      <x:c r="A10" s="6" t="str">
        <x:v>STD-05</x:v>
      </x:c>
      <x:c r="B10" s="6" t="str">
        <x:v>W3C Exclusive XML Canonicalization 1.0 (2002-07-18)</x:v>
      </x:c>
      <x:c r="C10" s="6" t="str">
        <x:v>정규화 근거</x:v>
      </x:c>
      <x:c r="D10" s="6" t="str">
        <x:v>§3 Specification</x:v>
      </x:c>
      <x:c r="E10" s="6" t="str">
        <x:v>TS 119 612 B.1.0에서 사용하는 exclusive C14N의 정의</x:v>
      </x:c>
      <x:c r="F10" s="6" t="str">
        <x:v>https://www.w3.org/TR/2002/REC-xml-exc-c14n-20020718/</x:v>
      </x:c>
      <x:c r="G10" s="6" t="str">
        <x:v>F:/kr-dss-works/kr-dss/runtime/reference-library/tl-management/2026-10-26/W3C_Exclusive_C14N_20020718.html</x:v>
      </x:c>
      <x:c r="H10" s="6" t="str">
        <x:v>10b1ec71542db546b311a3e600589339505b9099bc60affafa4204ece31807e3</x:v>
      </x:c>
      <x:c r="I10" s="6" t="d">
        <x:v>2026-10-26T04:06:56.571Z</x:v>
      </x:c>
    </x:row>
    <x:row r="11" ht="44" customHeight="1">
      <x:c r="A11" s="11" t="str">
        <x:v>STD-06</x:v>
      </x:c>
      <x:c r="B11" s="11" t="str">
        <x:v>RFC 5280 (2008-05)</x:v>
      </x:c>
      <x:c r="C11" s="11" t="str">
        <x:v>인증서 보완 근거</x:v>
      </x:c>
      <x:c r="D11" s="11" t="str">
        <x:v>§4.1, §4.2.1.2·3·9·12, §6</x:v>
      </x:c>
      <x:c r="E11" s="11" t="str">
        <x:v>인증서·확장·경로 검증 근거. TL 인정 상태나 국내 신뢰점 레벨을 정의하지 않음</x:v>
      </x:c>
      <x:c r="F11" s="11" t="str">
        <x:v>https://www.rfc-editor.org/rfc/rfc5280.txt</x:v>
      </x:c>
      <x:c r="G11" s="11" t="str">
        <x:v>F:/kr-dss-works/kr-dss/runtime/reference-library/tl-management/2026-10-26/RFC5280.txt</x:v>
      </x:c>
      <x:c r="H11" s="11" t="str">
        <x:v>a2f2628c0a83b873fc4786abd921f9b2c02395954b655d190bf16b831633345d</x:v>
      </x:c>
      <x:c r="I11" s="11" t="d">
        <x:v>2026-10-26T04:06:56.609Z</x:v>
      </x:c>
    </x:row>
    <x:row r="12" ht="44" customHeight="1">
      <x:c r="A12" s="6" t="str">
        <x:v>STD-07</x:v>
      </x:c>
      <x:c r="B12" s="6" t="str">
        <x:v>RFC 9110 (2022-06)</x:v>
      </x:c>
      <x:c r="C12" s="6" t="str">
        <x:v>기존 조회 계약 근거</x:v>
      </x:c>
      <x:c r="D12" s="6" t="str">
        <x:v>§8.8.3, §9.2.1, §13.1.2, §15.4.5</x:v>
      </x:c>
      <x:c r="E12" s="6" t="str">
        <x:v>ETag·조건부 GET·304. SHA-256 기반 태그 문자열은 프로젝트 선택</x:v>
      </x:c>
      <x:c r="F12" s="6" t="str">
        <x:v>https://www.rfc-editor.org/rfc/rfc9110.txt</x:v>
      </x:c>
      <x:c r="G12" s="6" t="str">
        <x:v>F:/kr-dss-works/kr-dss/runtime/reference-library/tl-management/2026-10-26/RFC9110.txt</x:v>
      </x:c>
      <x:c r="H12" s="6" t="str">
        <x:v>21c1cdce6ab0e5509b04d84a28000836c7a087cf786efe6f04877ebfff47232a</x:v>
      </x:c>
      <x:c r="I12" s="6" t="d">
        <x:v>2026-10-26T04:06:56.966Z</x:v>
      </x:c>
    </x:row>
    <x:row r="13" ht="44" customHeight="1">
      <x:c r="A13" s="11" t="str">
        <x:v>STD-08</x:v>
      </x:c>
      <x:c r="B13" s="11" t="str">
        <x:v>RFC 9111 (2022-06)</x:v>
      </x:c>
      <x:c r="C13" s="11" t="str">
        <x:v>캐시 보완 근거</x:v>
      </x:c>
      <x:c r="D13" s="11" t="str">
        <x:v>§5.2.2.4 no-cache, §5.2.2.5 no-store, §5.2.2.6 no-transform</x:v>
      </x:c>
      <x:c r="E13" s="11" t="str">
        <x:v>HTTP 캐시 정책. TL의 NextUpdate 및 신뢰 수용을 대체하지 않음</x:v>
      </x:c>
      <x:c r="F13" s="11" t="str">
        <x:v>https://www.rfc-editor.org/rfc/rfc9111.txt</x:v>
      </x:c>
      <x:c r="G13" s="11" t="str">
        <x:v>F:/kr-dss-works/kr-dss/runtime/reference-library/tl-management/2026-10-26/RFC9111.txt</x:v>
      </x:c>
      <x:c r="H13" s="11" t="str">
        <x:v>aeb52adb3279d5f23dae34f68af11bd5cef0a0aff7ffcd014c9ca93c5302cf3e</x:v>
      </x:c>
      <x:c r="I13" s="11" t="d">
        <x:v>2026-10-26T04:06:57.385Z</x:v>
      </x:c>
    </x:row>
    <x:row r="14" ht="44" customHeight="1">
      <x:c r="A14" s="6" t="str">
        <x:v>CTX-01</x:v>
      </x:c>
      <x:c r="B14" s="6" t="str">
        <x:v>KISA 전자서명인증업무 운영기준 준수사실 인정제도 안내</x:v>
      </x:c>
      <x:c r="C14" s="6" t="str">
        <x:v>제도 배경</x:v>
      </x:c>
      <x:c r="D14" s="6" t="str">
        <x:v>제도 개요·평가·인정 절차</x:v>
      </x:c>
      <x:c r="E14" s="6" t="str">
        <x:v>HTML 본문 확인. 법령·고시 원문을 대신하지 않음</x:v>
      </x:c>
      <x:c r="F14" s="6" t="str">
        <x:v>https://www.kisa.or.kr/1060203</x:v>
      </x:c>
      <x:c r="G14" s="6" t="str">
        <x:v>F:/kr-dss-works/kr-dss/runtime/reference-library/tl-management/2026-10-26/KISA_accreditation.html</x:v>
      </x:c>
      <x:c r="H14" s="6" t="str">
        <x:v>109952b7d20baa068e5b00c0107f470f51639480f66295526ac85d0d27803921</x:v>
      </x:c>
      <x:c r="I14" s="6" t="d">
        <x:v>2026-10-26T04:06:57.415Z</x:v>
      </x:c>
    </x:row>
    <x:row r="15" ht="44" customHeight="1">
      <x:c r="A15" s="11" t="str">
        <x:v>CTX-02</x:v>
      </x:c>
      <x:c r="B15" s="11" t="str">
        <x:v>전자서명법 고정 이력 페이지: lsiSeq=236201</x:v>
      </x:c>
      <x:c r="C15" s="11" t="str">
        <x:v>부분 확보</x:v>
      </x:c>
      <x:c r="D15" s="11" t="str">
        <x:v>안내 URL의 2022-10-20 시행본; 현행 법령판본 확정 전</x:v>
      </x:c>
      <x:c r="E15" s="11" t="str">
        <x:v>HTML UI 저장, 조문 본문 완전성 미확인. 법적 의무 확정 근거로 사용 금지</x:v>
      </x:c>
      <x:c r="F15" s="11" t="str">
        <x:v>https://www.law.go.kr/LSW/lsInfoP.do?efYd=20221020&amp;lsiSeq=236201</x:v>
      </x:c>
      <x:c r="G15" s="11" t="str">
        <x:v>F:/kr-dss-works/kr-dss/runtime/reference-library/tl-management/2026-10-26/electronic_signature_act_236201.html</x:v>
      </x:c>
      <x:c r="H15" s="11" t="str">
        <x:v>ea4a02ebd769aca136d1f9c042b085dcd4c81815cd47f16f3f65959024db3b8e</x:v>
      </x:c>
      <x:c r="I15" s="11" t="d">
        <x:v>2026-10-26T04:06:57.425Z</x:v>
      </x:c>
    </x:row>
    <x:row r="16" ht="44" customHeight="1">
      <x:c r="A16" s="6" t="str">
        <x:v>STD-09</x:v>
      </x:c>
      <x:c r="B16" s="6" t="str">
        <x:v>TS 119 612 V2.4.1 공식 스키마 첨부 ZIP</x:v>
      </x:c>
      <x:c r="C16" s="6" t="str">
        <x:v>규범 첨부 확보</x:v>
      </x:c>
      <x:c r="D16" s="6" t="str">
        <x:v>STD-01 Annex C</x:v>
      </x:c>
      <x:c r="E16" s="6" t="str">
        <x:v>원본 ZIP 유지. 전체 dependency resolution과 실제 XML 적합성 시험은 후속</x:v>
      </x:c>
      <x:c r="F16" s="6" t="str">
        <x:v>https://www.etsi.org/deliver/etsi_ts/119600_119699/119612/02.04.01_60/ts_119612v020401p0.zip</x:v>
      </x:c>
      <x:c r="G16" s="6" t="str">
        <x:v>F:/kr-dss-works/kr-dss/runtime/reference-library/tl-management/2026-10-26/ETSI_TS_119_612_V2.4.1_schemas.zip</x:v>
      </x:c>
      <x:c r="H16" s="6" t="str">
        <x:v>d2eb0bf4cda3b6a4d123f5ea2c0f4bd0ec8157a03111404603ba678908ea9413</x:v>
      </x:c>
      <x:c r="I16" s="6" t="d">
        <x:v>2026-10-26T04:06:57.509Z</x:v>
      </x:c>
    </x:row>
    <x:row r="17" ht="44" customHeight="1">
      <x:c r="A17" s="11" t="str">
        <x:v>CTX-03</x:v>
      </x:c>
      <x:c r="B17" s="11" t="str">
        <x:v>전자서명인증업무 운영기준 공식 페이지</x:v>
      </x:c>
      <x:c r="C17" s="11" t="str">
        <x:v>부분 확보</x:v>
      </x:c>
      <x:c r="D17" s="11" t="str">
        <x:v>공식 표시: 2022-04-20 시행·고시 2022-5호</x:v>
      </x:c>
      <x:c r="E17" s="11" t="str">
        <x:v>페이지·판본 표시는 확인, 첨부 본문 완전성 미확인. OQ-008에서 원문·시행본 확정</x:v>
      </x:c>
      <x:c r="F17" s="11" t="str">
        <x:v>https://www.law.go.kr/LSW/admRulLsInfoP.do?admRulId=33463&amp;efYd=0</x:v>
      </x:c>
      <x:c r="G17" s="11" t="str">
        <x:v>F:/kr-dss-works/kr-dss/runtime/reference-library/tl-management/2026-10-26/electronic_signature_operation_rules.html</x:v>
      </x:c>
      <x:c r="H17" s="11" t="str">
        <x:v>ac511bea1b02fb9b7c07a8051c49bf364b4a756e5ee0f8e908cc5622c783f958</x:v>
      </x:c>
      <x:c r="I17" s="11" t="d">
        <x:v>2026-10-26T04:06:57.534Z</x:v>
      </x:c>
    </x:row>
    <x:row r="18" ht="44" customHeight="1">
      <x:c r="A18" s="6" t="str">
        <x:v>BIZ-01</x:v>
      </x:c>
      <x:c r="B18" s="6" t="str">
        <x:v>제안요청서 본문</x:v>
      </x:c>
      <x:c r="C18" s="6" t="str">
        <x:v>사업·정책·기존 설계</x:v>
      </x:c>
      <x:c r="D18" s="6" t="str">
        <x:v>사업 요구: 과업 2·3. 자동 수집·동기화 범위 OQ-002</x:v>
      </x:c>
      <x:c r="E18" s="6" t="str">
        <x:v>표준 원문과 구분</x:v>
      </x:c>
      <x:c r="F18" s="6" t="str"/>
      <x:c r="G18" s="6" t="str">
        <x:v>C:/Users/sol74/orca/workspaces/kr-dss/kr-tl/docs/project/제안요청서_RFP_본문.md</x:v>
      </x:c>
      <x:c r="H18" s="6" t="str"/>
      <x:c r="I18" s="6" t="str"/>
    </x:row>
    <x:row r="19" ht="44" customHeight="1">
      <x:c r="A19" s="11" t="str">
        <x:v>POL-01</x:v>
      </x:c>
      <x:c r="B19" s="11" t="str">
        <x:v>사용자 PoC 결정 기록</x:v>
      </x:c>
      <x:c r="C19" s="11" t="str">
        <x:v>사업·정책·기존 설계</x:v>
      </x:c>
      <x:c r="D19" s="11" t="str">
        <x:v>§3 D-01~06 및 오류 발행 추가 결정</x:v>
      </x:c>
      <x:c r="E19" s="11" t="str">
        <x:v>표준 원문과 구분</x:v>
      </x:c>
      <x:c r="F19" s="11" t="str"/>
      <x:c r="G19" s="11" t="str">
        <x:v>C:/Users/sol74/orca/workspaces/kr-dss/kr-tl/docs/development/poc/tl-management/reviews/25-PoC-구현-차이-검토.md</x:v>
      </x:c>
      <x:c r="H19" s="11" t="str"/>
      <x:c r="I19" s="11" t="str"/>
    </x:row>
    <x:row r="20" ht="44" customHeight="1">
      <x:c r="A20" s="6" t="str">
        <x:v>POL-02</x:v>
      </x:c>
      <x:c r="B20" s="6" t="str">
        <x:v>현재 사용자 정리 지시</x:v>
      </x:c>
      <x:c r="C20" s="6" t="str">
        <x:v>사업·정책·기존 설계</x:v>
      </x:c>
      <x:c r="D20" s="6" t="str">
        <x:v>main 비관리 자료 보관·요구사항 재구성·기존 설계 백업</x:v>
      </x:c>
      <x:c r="E20" s="6" t="str">
        <x:v>표준 원문과 구분</x:v>
      </x:c>
      <x:c r="F20" s="6" t="str"/>
      <x:c r="G20" s="6" t="str">
        <x:v>2026-10-26 대화</x:v>
      </x:c>
      <x:c r="H20" s="6" t="str"/>
      <x:c r="I20" s="6" t="str"/>
    </x:row>
    <x:row r="21" ht="44" customHeight="1">
      <x:c r="A21" s="11" t="str">
        <x:v>LEG-*</x:v>
      </x:c>
      <x:c r="B21" s="11" t="str">
        <x:v>기존 설계·결정 출처</x:v>
      </x:c>
      <x:c r="C21" s="11" t="str">
        <x:v>사업·정책·기존 설계</x:v>
      </x:c>
      <x:c r="D21" s="11" t="str">
        <x:v>근거키별 매핑은 sources.md 사업·정책·설계 출처 및 archive.md 참조</x:v>
      </x:c>
      <x:c r="E21" s="11" t="str">
        <x:v>표준 원문과 구분</x:v>
      </x:c>
      <x:c r="F21" s="11" t="str"/>
      <x:c r="G21" s="11" t="str">
        <x:v>C:/Users/sol74/orca/workspaces/kr-dss/kr-tl/docs/design/poc/tl-management/sources.md</x:v>
      </x:c>
      <x:c r="H21" s="11" t="str"/>
      <x:c r="I21" s="11" t="str"/>
    </x:row>
  </x:sheetData>
  <x:pageMargins left="0.7" right="0.7" top="0.75" bottom="0.75" header="0.3" footer="0.3"/>
  <x:tableParts count="1">
    <x:tablePart xmlns:r="http://schemas.openxmlformats.org/officeDocument/2006/relationships" r:id="Rb3007be9f2d7432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68" hidden="0" customWidth="1"/>
    <x:col min="3" max="3" width="50" hidden="0" customWidth="1"/>
    <x:col min="4" max="4" width="14" hidden="0" customWidth="1"/>
    <x:col min="5" max="5" width="58" hidden="0" customWidth="1"/>
    <x:col min="6" max="6" width="60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3" t="str">
        <x:v>범위와 인수 기준의 미결정 사항</x:v>
      </x:c>
      <x:c r="B2" s="1"/>
      <x:c r="C2" s="1"/>
      <x:c r="D2" s="1"/>
      <x:c r="E2" s="1"/>
      <x:c r="F2" s="1"/>
      <x:c r="G2" s="1"/>
    </x:row>
    <x:row r="3">
      <x:c r="A3" s="4" t="str">
        <x:v>열린 사항은 승인·확정으로 간주하지 않는다. 결정 내용을 입력한 후 관련 요구와 산출물을 함께 수정한다.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2" customHeight="1">
      <x:c r="A5" s="10" t="str">
        <x:v>질문 ID</x:v>
      </x:c>
      <x:c r="B5" s="10" t="str">
        <x:v>질문</x:v>
      </x:c>
      <x:c r="C5" s="10" t="str">
        <x:v>영향 요구사항</x:v>
      </x:c>
      <x:c r="D5" s="10" t="str">
        <x:v>차단 단계</x:v>
      </x:c>
      <x:c r="E5" s="10" t="str">
        <x:v>기본 원칙</x:v>
      </x:c>
      <x:c r="F5" s="10" t="str">
        <x:v>결정 내용</x:v>
      </x:c>
      <x:c r="G5" s="10" t="str">
        <x:v>상태</x:v>
      </x:c>
    </x:row>
    <x:row r="6" ht="44" customHeight="1">
      <x:c r="A6" s="6" t="str">
        <x:v>OQ-001</x:v>
      </x:c>
      <x:c r="B6" s="6" t="str">
        <x:v>운영 목표·PoC·외부 소비자 구분과 새 요구사항 분해·필수 목록을 이 초안 기준으로 채택하는가?</x:v>
      </x:c>
      <x:c r="C6" s="6" t="str">
        <x:v>FR-001, FR-049, FR-047</x:v>
      </x:c>
      <x:c r="D6" s="6" t="n">
        <x:v>1</x:v>
      </x:c>
      <x:c r="E6" s="6" t="str">
        <x:v>기존 PoC 범위를 확대하지 않음</x:v>
      </x:c>
      <x:c r="F6" s="6" t="str"/>
      <x:c r="G6" s="6" t="str">
        <x:v>열림</x:v>
      </x:c>
    </x:row>
    <x:row r="7" ht="44" customHeight="1">
      <x:c r="A7" s="11" t="str">
        <x:v>OQ-002</x:v>
      </x:c>
      <x:c r="B7" s="11" t="str">
        <x:v>RFP 자동 수집·주기 동기화를 사업자 제출과 수동 PoC로 어디까지 충족한다고 인정하는가?</x:v>
      </x:c>
      <x:c r="C7" s="11" t="str">
        <x:v>FR-052, FR-051</x:v>
      </x:c>
      <x:c r="D7" s="11" t="n">
        <x:v>1</x:v>
      </x:c>
      <x:c r="E7" s="11" t="str">
        <x:v>발주기관 합의 전 충족으로 표시하지 않음</x:v>
      </x:c>
      <x:c r="F7" s="11" t="str"/>
      <x:c r="G7" s="11" t="str">
        <x:v>열림</x:v>
      </x:c>
    </x:row>
    <x:row r="8" ht="44" customHeight="1">
      <x:c r="A8" s="6" t="str">
        <x:v>OQ-003</x:v>
      </x:c>
      <x:c r="B8" s="6" t="str">
        <x:v>목표 운영의 배포 경계·접근 주체·역할·심사 절차·HSM 계약·감사 범위는 무엇인가?</x:v>
      </x:c>
      <x:c r="C8" s="6" t="str">
        <x:v>FR-049, FR-050, FR-053, FR-054, SR-009, SR-010</x:v>
      </x:c>
      <x:c r="D8" s="6" t="n">
        <x:v>2</x:v>
      </x:c>
      <x:c r="E8" s="6" t="str">
        <x:v>PoC 제외 결정을 운영 안전정책으로 사용하지 않음</x:v>
      </x:c>
      <x:c r="F8" s="6" t="str"/>
      <x:c r="G8" s="6" t="str">
        <x:v>열림</x:v>
      </x:c>
    </x:row>
    <x:row r="9" ht="44" customHeight="1">
      <x:c r="A9" s="11" t="str">
        <x:v>OQ-004</x:v>
      </x:c>
      <x:c r="B9" s="11" t="str">
        <x:v>발행 이력이 있는 사업자·서비스의 삭제는 금지·비활성화·철회 중 어떤 방식인가?</x:v>
      </x:c>
      <x:c r="C9" s="11" t="str">
        <x:v>FR-004, FR-010</x:v>
      </x:c>
      <x:c r="D9" s="11" t="n">
        <x:v>1</x:v>
      </x:c>
      <x:c r="E9" s="11" t="str">
        <x:v>과거 발행본의 삭제·변경은 허용하지 않음</x:v>
      </x:c>
      <x:c r="F9" s="11" t="str"/>
      <x:c r="G9" s="11" t="str">
        <x:v>열림</x:v>
      </x:c>
    </x:row>
    <x:row r="10" ht="44" customHeight="1">
      <x:c r="A10" s="6" t="str">
        <x:v>OQ-005</x:v>
      </x:c>
      <x:c r="B10" s="6" t="str">
        <x:v>국제 호환의 인수 범위는 무엇이며 en·전체 XSD·국내 공표 URI·서명 프로파일을 언제 확정하는가?</x:v>
      </x:c>
      <x:c r="C10" s="6" t="str">
        <x:v>FR-022, FR-023, FR-025, FR-026, SR-001</x:v>
      </x:c>
      <x:c r="D10" s="6" t="n">
        <x:v>1</x:v>
      </x:c>
      <x:c r="E10" s="6" t="str">
        <x:v>PoC 임시 프로파일을 ETSI 완전 준수로 주장하지 않음</x:v>
      </x:c>
      <x:c r="F10" s="6" t="str"/>
      <x:c r="G10" s="6" t="str">
        <x:v>열림</x:v>
      </x:c>
    </x:row>
    <x:row r="11" ht="44" customHeight="1">
      <x:c r="A11" s="11" t="str">
        <x:v>OQ-006</x:v>
      </x:c>
      <x:c r="B11" s="11" t="str">
        <x:v>운영 갱신 주기·부하·용량·응답시간·보존 기간·복구 목표·책임자는 무엇인가?</x:v>
      </x:c>
      <x:c r="C11" s="11" t="str">
        <x:v>FR-051, NFR-003, NFR-004</x:v>
      </x:c>
      <x:c r="D11" s="11" t="n">
        <x:v>3</x:v>
      </x:c>
      <x:c r="E11" s="11" t="str">
        <x:v>이전 7일·1시간·10분 등 예시 수치를 확정값으로 승계하지 않음</x:v>
      </x:c>
      <x:c r="F11" s="11" t="str"/>
      <x:c r="G11" s="11" t="str">
        <x:v>열림</x:v>
      </x:c>
    </x:row>
    <x:row r="12" ht="44" customHeight="1">
      <x:c r="A12" s="6" t="str">
        <x:v>OQ-007</x:v>
      </x:c>
      <x:c r="B12" s="6" t="str">
        <x:v>미래 시각 허용 오차와 상세 실증 시계·표본·오류 시나리오는 어떻게 정하는가?</x:v>
      </x:c>
      <x:c r="C12" s="6" t="str">
        <x:v>FR-016, FR-021, FR-033, FR-047</x:v>
      </x:c>
      <x:c r="D12" s="6" t="n">
        <x:v>5</x:v>
      </x:c>
      <x:c r="E12" s="6" t="str">
        <x:v>기술 검증 후보와 전체 실증 시나리오를 분리</x:v>
      </x:c>
      <x:c r="F12" s="6" t="str"/>
      <x:c r="G12" s="6" t="str">
        <x:v>열림</x:v>
      </x:c>
    </x:row>
    <x:row r="13" ht="44" customHeight="1">
      <x:c r="A13" s="11" t="str">
        <x:v>OQ-008</x:v>
      </x:c>
      <x:c r="B13" s="11" t="str">
        <x:v>전자서명법·운영기준의 채택 시행본과 사업자 인정·정지·철회에 대응할 공식 상태 근거는 무엇인가?</x:v>
      </x:c>
      <x:c r="C13" s="11" t="str">
        <x:v>FR-008, FR-023, FR-049</x:v>
      </x:c>
      <x:c r="D13" s="11" t="n">
        <x:v>1</x:v>
      </x:c>
      <x:c r="E13" s="11" t="str">
        <x:v>KISA 안내는 제도 배경이며 상태 전이의 직접 법적 근거로 쓰지 않음</x:v>
      </x:c>
      <x:c r="F13" s="11" t="str"/>
      <x:c r="G13" s="11" t="str">
        <x:v>열림</x:v>
      </x:c>
    </x:row>
    <x:row r="14" ht="44" customHeight="1">
      <x:c r="A14" s="6" t="str">
        <x:v>OQ-009</x:v>
      </x:c>
      <x:c r="B14" s="6" t="str">
        <x:v>저장 경로 이탈 차단이라는 새 보안 제안을 요구사항으로 채택하는가?</x:v>
      </x:c>
      <x:c r="C14" s="6" t="str">
        <x:v>SR-011</x:v>
      </x:c>
      <x:c r="D14" s="6" t="n">
        <x:v>2</x:v>
      </x:c>
      <x:c r="E14" s="6" t="str">
        <x:v>이번에는 제안·초안으로만 유지</x:v>
      </x:c>
      <x:c r="F14" s="6" t="str"/>
      <x:c r="G14" s="6" t="str">
        <x:v>열림</x:v>
      </x:c>
    </x:row>
    <x:row r="15" ht="44" customHeight="1">
      <x:c r="A15" s="11" t="str">
        <x:v>OQ-010</x:v>
      </x:c>
      <x:c r="B15" s="11" t="str">
        <x:v>요구사항별 기존 시험 증거의 재사용 가능 범위와 현재 구현 차이를 어떻게 확인할 것인가?</x:v>
      </x:c>
      <x:c r="C15" s="11" t="str">
        <x:v>FR-033, FR-025, NFR-001</x:v>
      </x:c>
      <x:c r="D15" s="11" t="n">
        <x:v>5</x:v>
      </x:c>
      <x:c r="E15" s="11" t="str">
        <x:v>기존 결과는 자동 승계하지 않고 모든 TC를 미실행으로 둠</x:v>
      </x:c>
      <x:c r="F15" s="11" t="str"/>
      <x:c r="G15" s="11" t="str">
        <x:v>열림</x:v>
      </x:c>
    </x:row>
  </x:sheetData>
  <x:pageMargins left="0.7" right="0.7" top="0.75" bottom="0.75" header="0.3" footer="0.3"/>
  <x:tableParts count="1">
    <x:tablePart xmlns:r="http://schemas.openxmlformats.org/officeDocument/2006/relationships" r:id="R6d0871a627634fe6"/>
  </x:tableParts>
</x:worksheet>
</file>

<file path=xl/worksheets/sheet6.xml><?xml version="1.0" encoding="utf-8"?>
<x:worksheet xmlns:x="http://schemas.openxmlformats.org/spreadsheetml/2006/main">
  <x:sheetPr>
    <x:tabColor rgb="FF778590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30" customHeight="1">
      <x:c r="A2" s="3" t="str">
        <x:v>검토와 산출물 관리 안내</x:v>
      </x:c>
      <x:c r="B2" s="1"/>
    </x:row>
    <x:row r="3">
      <x:c r="A3" s="4" t="str">
        <x:v>요구 ID 또는 산출물 ID를 기준으로 수정 요청을 남긴다.</x:v>
      </x:c>
      <x:c r="B3" s="1"/>
    </x:row>
    <x:row r="4">
      <x:c r="A4" s="1"/>
      <x:c r="B4" s="1"/>
    </x:row>
    <x:row r="5" ht="32" customHeight="1">
      <x:c r="A5" s="10" t="str">
        <x:v>항목</x:v>
      </x:c>
      <x:c r="B5" s="10" t="str">
        <x:v>내용</x:v>
      </x:c>
    </x:row>
    <x:row r="6" ht="44" customHeight="1">
      <x:c r="A6" s="6" t="str">
        <x:v>문서 버전</x:v>
      </x:c>
      <x:c r="B6" s="6" t="str">
        <x:v>v0.2 검토 초안. 2026-10-26 요구사항 70개를 옮기고 산출물 도출을 추가했다.</x:v>
      </x:c>
    </x:row>
    <x:row r="7" ht="44" customHeight="1">
      <x:c r="A7" s="11" t="str">
        <x:v>요구사항 총수</x:v>
      </x:c>
      <x:c r="B7" s="13" t="n">
        <x:f>COUNTA('요구사항'!A6:A75)</x:f>
        <x:v>70</x:v>
      </x:c>
    </x:row>
    <x:row r="8" ht="44" customHeight="1">
      <x:c r="A8" s="6" t="str">
        <x:v>기능 요구사항</x:v>
      </x:c>
      <x:c r="B8" s="14" t="n">
        <x:f>COUNTIFS('요구사항'!R6:R75,"FR")</x:f>
        <x:v>54</x:v>
      </x:c>
    </x:row>
    <x:row r="9" ht="44" customHeight="1">
      <x:c r="A9" s="11" t="str">
        <x:v>보안 요구사항</x:v>
      </x:c>
      <x:c r="B9" s="13" t="n">
        <x:f>COUNTIFS('요구사항'!R6:R75,"SR")</x:f>
        <x:v>11</x:v>
      </x:c>
    </x:row>
    <x:row r="10" ht="44" customHeight="1">
      <x:c r="A10" s="6" t="str">
        <x:v>비기능 요구사항</x:v>
      </x:c>
      <x:c r="B10" s="14" t="n">
        <x:f>COUNTIFS('요구사항'!R6:R75,"NFR")</x:f>
        <x:v>5</x:v>
      </x:c>
    </x:row>
    <x:row r="11" ht="44" customHeight="1">
      <x:c r="A11" s="11" t="str">
        <x:v>도출 산출물 종류</x:v>
      </x:c>
      <x:c r="B11" s="13" t="n">
        <x:f>COUNTA('산출물목록'!A6:A29)</x:f>
        <x:v>24</x:v>
      </x:c>
    </x:row>
    <x:row r="12" ht="44" customHeight="1">
      <x:c r="A12" s="6" t="str">
        <x:v>시험 항목</x:v>
      </x:c>
      <x:c r="B12" s="14" t="n">
        <x:f>COUNTA('시험명세'!A6:A75)</x:f>
        <x:v>70</x:v>
      </x:c>
    </x:row>
    <x:row r="13" ht="44" customHeight="1">
      <x:c r="A13" s="11" t="str">
        <x:v>도출 원칙</x:v>
      </x:c>
      <x:c r="B13" s="13" t="str">
        <x:v>각 요구의 설계 명세, 구현물, 시험 명세, 결과 증거, 인계 지침을 식별했다. DEL은 이번 엑셀의 산출물 식별자이며 Dev-Pulse 기존 필수 ID를 대체하지 않는다.</x:v>
      </x:c>
    </x:row>
    <x:row r="14" ht="44" customHeight="1">
      <x:c r="A14" s="6" t="str">
        <x:v>공통 제출물</x:v>
      </x:c>
      <x:c r="B14" s="6" t="str">
        <x:v>DEL-001 요구사항 정의서, DEL-022 근거 목록, DEL-023 추적표, DEL-024 최종 보고서는 전체 요구를 포괄한다. 개별 요구 행에는 직접 산출물을 기재했다.</x:v>
      </x:c>
    </x:row>
    <x:row r="15" ht="44" customHeight="1">
      <x:c r="A15" s="11" t="str">
        <x:v>완료 기준</x:v>
      </x:c>
      <x:c r="B15" s="11" t="str">
        <x:v>파일 생성만으로 완료가 아니다. 산출물별 필수 내용·검수 기준을 충족하고 관련 요구·시험·증거가 연결되어야 한다.</x:v>
      </x:c>
    </x:row>
    <x:row r="16" ht="44" customHeight="1">
      <x:c r="A16" s="6" t="str">
        <x:v>현재 작성 상태</x:v>
      </x:c>
      <x:c r="B16" s="6" t="str">
        <x:v>요구 정의·시험 계획·근거 목록·추적표는 초안 작성 상태다. 신규 상세 설계와 결과 보고서는 후속 산출물이다. 기존 코드는 요구별 재검토 전이며 시험 통과를 승계하지 않았다.</x:v>
      </x:c>
    </x:row>
    <x:row r="17" ht="44" customHeight="1">
      <x:c r="A17" s="11" t="str">
        <x:v>보류·외부 범위</x:v>
      </x:c>
      <x:c r="B17" s="11" t="str">
        <x:v>보류 요구는 정책 확정 전 PoC 개발 의무에 추가하지 않는다. 외부 소비자 요구는 관리 시스템 단독 완료와 구분한다.</x:v>
      </x:c>
    </x:row>
    <x:row r="18" ht="44" customHeight="1">
      <x:c r="A18" s="6" t="str">
        <x:v>수정 방법</x:v>
      </x:c>
      <x:c r="B18" s="6" t="str">
        <x:v>요구사항 시트 수정 의견, 산출물목록 검토 의견, 확인필요 결정 내용을 입력한다. 승인된 변경은 Markdown 원본과 추적표에도 반영해야 한다. 엑셀과 원본은 자동 동기화되지 않는다.</x:v>
      </x:c>
    </x:row>
    <x:row r="19" ht="44" customHeight="1">
      <x:c r="A19" s="11" t="str">
        <x:v>근거 보존</x:v>
      </x:c>
      <x:c r="B19" s="11" t="str">
        <x:v>표준 원문·기존 설계는 main 비관리 위치에 보존한다. 근거목록에서 URL·로컬 경로·해시를 확인한다. 국내 법령·고시 본문 전체 확인은 OQ-008이다.</x:v>
      </x:c>
    </x:row>
    <x:row r="20" ht="44" customHeight="1">
      <x:c r="A20" s="6" t="str">
        <x:v>원본 기준</x:v>
      </x:c>
      <x:c r="B20" s="6" t="str">
        <x:v>C:/Users/sol74/orca/workspaces/kr-dss/kr-tl/docs/design/poc/tl-management/requirements.md</x:v>
      </x:c>
    </x:row>
  </x:sheetData>
  <x:pageMargins left="0.7" right="0.7" top="0.75" bottom="0.75" header="0.3" footer="0.3"/>
  <x:tableParts count="1">
    <x:tablePart xmlns:r="http://schemas.openxmlformats.org/officeDocument/2006/relationships" r:id="R630d0577525f4c07"/>
  </x:tableParts>
</x:worksheet>
</file>